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_automation\data\"/>
    </mc:Choice>
  </mc:AlternateContent>
  <xr:revisionPtr revIDLastSave="0" documentId="13_ncr:1_{E82B3E72-566B-4192-AB7E-DBB5D771E83E}" xr6:coauthVersionLast="47" xr6:coauthVersionMax="47" xr10:uidLastSave="{00000000-0000-0000-0000-000000000000}"/>
  <bookViews>
    <workbookView xWindow="1860" yWindow="345" windowWidth="11340" windowHeight="15600" xr2:uid="{FC1DE28B-20D4-4352-B81C-69B33F180141}"/>
  </bookViews>
  <sheets>
    <sheet name="Profit and Lo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33" i="2" l="1"/>
  <c r="R433" i="2"/>
  <c r="Q433" i="2"/>
  <c r="P433" i="2"/>
  <c r="O433" i="2"/>
  <c r="N433" i="2"/>
  <c r="M433" i="2"/>
  <c r="L433" i="2"/>
  <c r="K433" i="2"/>
  <c r="J433" i="2"/>
  <c r="I433" i="2"/>
  <c r="H433" i="2"/>
  <c r="G433" i="2"/>
  <c r="S428" i="2"/>
  <c r="R428" i="2"/>
  <c r="N428" i="2"/>
  <c r="K428" i="2"/>
  <c r="J428" i="2"/>
  <c r="S427" i="2"/>
  <c r="R427" i="2"/>
  <c r="Q427" i="2"/>
  <c r="Q428" i="2" s="1"/>
  <c r="P427" i="2"/>
  <c r="P428" i="2" s="1"/>
  <c r="O427" i="2"/>
  <c r="O428" i="2" s="1"/>
  <c r="N427" i="2"/>
  <c r="M427" i="2"/>
  <c r="M428" i="2" s="1"/>
  <c r="L427" i="2"/>
  <c r="L428" i="2" s="1"/>
  <c r="K427" i="2"/>
  <c r="J427" i="2"/>
  <c r="I427" i="2"/>
  <c r="I428" i="2" s="1"/>
  <c r="H427" i="2"/>
  <c r="H428" i="2" s="1"/>
  <c r="G427" i="2"/>
  <c r="G428" i="2" s="1"/>
  <c r="Q407" i="2"/>
  <c r="M407" i="2"/>
  <c r="I407" i="2"/>
  <c r="S406" i="2"/>
  <c r="R406" i="2"/>
  <c r="R407" i="2" s="1"/>
  <c r="Q406" i="2"/>
  <c r="P406" i="2"/>
  <c r="O406" i="2"/>
  <c r="N406" i="2"/>
  <c r="N407" i="2" s="1"/>
  <c r="M406" i="2"/>
  <c r="L406" i="2"/>
  <c r="K406" i="2"/>
  <c r="J406" i="2"/>
  <c r="J407" i="2" s="1"/>
  <c r="I406" i="2"/>
  <c r="H406" i="2"/>
  <c r="G406" i="2"/>
  <c r="S397" i="2"/>
  <c r="S407" i="2" s="1"/>
  <c r="R397" i="2"/>
  <c r="Q397" i="2"/>
  <c r="P397" i="2"/>
  <c r="P407" i="2" s="1"/>
  <c r="O397" i="2"/>
  <c r="O407" i="2" s="1"/>
  <c r="N397" i="2"/>
  <c r="M397" i="2"/>
  <c r="L397" i="2"/>
  <c r="L407" i="2" s="1"/>
  <c r="K397" i="2"/>
  <c r="K407" i="2" s="1"/>
  <c r="J397" i="2"/>
  <c r="I397" i="2"/>
  <c r="H397" i="2"/>
  <c r="H407" i="2" s="1"/>
  <c r="G397" i="2"/>
  <c r="G407" i="2" s="1"/>
  <c r="S385" i="2"/>
  <c r="O385" i="2"/>
  <c r="L385" i="2"/>
  <c r="K385" i="2"/>
  <c r="G385" i="2"/>
  <c r="S384" i="2"/>
  <c r="R384" i="2"/>
  <c r="Q384" i="2"/>
  <c r="P384" i="2"/>
  <c r="P385" i="2" s="1"/>
  <c r="O384" i="2"/>
  <c r="N384" i="2"/>
  <c r="M384" i="2"/>
  <c r="L384" i="2"/>
  <c r="K384" i="2"/>
  <c r="J384" i="2"/>
  <c r="I384" i="2"/>
  <c r="H384" i="2"/>
  <c r="H385" i="2" s="1"/>
  <c r="G384" i="2"/>
  <c r="S376" i="2"/>
  <c r="R376" i="2"/>
  <c r="R385" i="2" s="1"/>
  <c r="Q376" i="2"/>
  <c r="Q385" i="2" s="1"/>
  <c r="P376" i="2"/>
  <c r="O376" i="2"/>
  <c r="N376" i="2"/>
  <c r="N385" i="2" s="1"/>
  <c r="M376" i="2"/>
  <c r="M385" i="2" s="1"/>
  <c r="L376" i="2"/>
  <c r="K376" i="2"/>
  <c r="J376" i="2"/>
  <c r="J385" i="2" s="1"/>
  <c r="I376" i="2"/>
  <c r="I385" i="2" s="1"/>
  <c r="H376" i="2"/>
  <c r="G376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O360" i="2"/>
  <c r="G360" i="2"/>
  <c r="S359" i="2"/>
  <c r="R359" i="2"/>
  <c r="Q359" i="2"/>
  <c r="P359" i="2"/>
  <c r="P360" i="2" s="1"/>
  <c r="O359" i="2"/>
  <c r="N359" i="2"/>
  <c r="M359" i="2"/>
  <c r="L359" i="2"/>
  <c r="L360" i="2" s="1"/>
  <c r="K359" i="2"/>
  <c r="J359" i="2"/>
  <c r="I359" i="2"/>
  <c r="H359" i="2"/>
  <c r="H360" i="2" s="1"/>
  <c r="G359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S348" i="2"/>
  <c r="S360" i="2" s="1"/>
  <c r="R348" i="2"/>
  <c r="R360" i="2" s="1"/>
  <c r="Q348" i="2"/>
  <c r="P348" i="2"/>
  <c r="O348" i="2"/>
  <c r="N348" i="2"/>
  <c r="N360" i="2" s="1"/>
  <c r="N386" i="2" s="1"/>
  <c r="M348" i="2"/>
  <c r="L348" i="2"/>
  <c r="K348" i="2"/>
  <c r="K360" i="2" s="1"/>
  <c r="J348" i="2"/>
  <c r="J360" i="2" s="1"/>
  <c r="I348" i="2"/>
  <c r="H348" i="2"/>
  <c r="G348" i="2"/>
  <c r="S339" i="2"/>
  <c r="S386" i="2" s="1"/>
  <c r="K339" i="2"/>
  <c r="K386" i="2" s="1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S315" i="2"/>
  <c r="R315" i="2"/>
  <c r="R339" i="2" s="1"/>
  <c r="R386" i="2" s="1"/>
  <c r="Q315" i="2"/>
  <c r="Q339" i="2" s="1"/>
  <c r="P315" i="2"/>
  <c r="P339" i="2" s="1"/>
  <c r="P386" i="2" s="1"/>
  <c r="O315" i="2"/>
  <c r="O339" i="2" s="1"/>
  <c r="O386" i="2" s="1"/>
  <c r="N315" i="2"/>
  <c r="N339" i="2" s="1"/>
  <c r="M315" i="2"/>
  <c r="M339" i="2" s="1"/>
  <c r="L315" i="2"/>
  <c r="L339" i="2" s="1"/>
  <c r="L386" i="2" s="1"/>
  <c r="K315" i="2"/>
  <c r="J315" i="2"/>
  <c r="J339" i="2" s="1"/>
  <c r="J386" i="2" s="1"/>
  <c r="I315" i="2"/>
  <c r="I339" i="2" s="1"/>
  <c r="H315" i="2"/>
  <c r="H339" i="2" s="1"/>
  <c r="H386" i="2" s="1"/>
  <c r="G315" i="2"/>
  <c r="G339" i="2" s="1"/>
  <c r="G386" i="2" s="1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S286" i="2"/>
  <c r="S305" i="2" s="1"/>
  <c r="P286" i="2"/>
  <c r="P305" i="2" s="1"/>
  <c r="P387" i="2" s="1"/>
  <c r="O286" i="2"/>
  <c r="K286" i="2"/>
  <c r="K305" i="2" s="1"/>
  <c r="H286" i="2"/>
  <c r="H305" i="2" s="1"/>
  <c r="H387" i="2" s="1"/>
  <c r="G286" i="2"/>
  <c r="S285" i="2"/>
  <c r="R285" i="2"/>
  <c r="Q285" i="2"/>
  <c r="P285" i="2"/>
  <c r="O285" i="2"/>
  <c r="N285" i="2"/>
  <c r="M285" i="2"/>
  <c r="L285" i="2"/>
  <c r="L286" i="2" s="1"/>
  <c r="L305" i="2" s="1"/>
  <c r="L387" i="2" s="1"/>
  <c r="K285" i="2"/>
  <c r="J285" i="2"/>
  <c r="I285" i="2"/>
  <c r="H285" i="2"/>
  <c r="G285" i="2"/>
  <c r="S277" i="2"/>
  <c r="R277" i="2"/>
  <c r="R286" i="2" s="1"/>
  <c r="R305" i="2" s="1"/>
  <c r="Q277" i="2"/>
  <c r="P277" i="2"/>
  <c r="O277" i="2"/>
  <c r="N277" i="2"/>
  <c r="N286" i="2" s="1"/>
  <c r="N305" i="2" s="1"/>
  <c r="N387" i="2" s="1"/>
  <c r="M277" i="2"/>
  <c r="L277" i="2"/>
  <c r="K277" i="2"/>
  <c r="J277" i="2"/>
  <c r="J286" i="2" s="1"/>
  <c r="J305" i="2" s="1"/>
  <c r="I277" i="2"/>
  <c r="H277" i="2"/>
  <c r="G277" i="2"/>
  <c r="R260" i="2"/>
  <c r="O260" i="2"/>
  <c r="N260" i="2"/>
  <c r="J260" i="2"/>
  <c r="G260" i="2"/>
  <c r="S259" i="2"/>
  <c r="S260" i="2" s="1"/>
  <c r="R259" i="2"/>
  <c r="Q259" i="2"/>
  <c r="P259" i="2"/>
  <c r="O259" i="2"/>
  <c r="N259" i="2"/>
  <c r="M259" i="2"/>
  <c r="L259" i="2"/>
  <c r="K259" i="2"/>
  <c r="K260" i="2" s="1"/>
  <c r="J259" i="2"/>
  <c r="I259" i="2"/>
  <c r="H259" i="2"/>
  <c r="G259" i="2"/>
  <c r="S253" i="2"/>
  <c r="R253" i="2"/>
  <c r="Q253" i="2"/>
  <c r="Q260" i="2" s="1"/>
  <c r="P253" i="2"/>
  <c r="O253" i="2"/>
  <c r="N253" i="2"/>
  <c r="M253" i="2"/>
  <c r="M260" i="2" s="1"/>
  <c r="L253" i="2"/>
  <c r="K253" i="2"/>
  <c r="J253" i="2"/>
  <c r="I253" i="2"/>
  <c r="I260" i="2" s="1"/>
  <c r="H253" i="2"/>
  <c r="G253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S214" i="2"/>
  <c r="R214" i="2"/>
  <c r="N214" i="2"/>
  <c r="K214" i="2"/>
  <c r="J214" i="2"/>
  <c r="S213" i="2"/>
  <c r="R213" i="2"/>
  <c r="Q213" i="2"/>
  <c r="P213" i="2"/>
  <c r="O213" i="2"/>
  <c r="O214" i="2" s="1"/>
  <c r="N213" i="2"/>
  <c r="M213" i="2"/>
  <c r="L213" i="2"/>
  <c r="K213" i="2"/>
  <c r="J213" i="2"/>
  <c r="I213" i="2"/>
  <c r="H213" i="2"/>
  <c r="G213" i="2"/>
  <c r="G214" i="2" s="1"/>
  <c r="S192" i="2"/>
  <c r="R192" i="2"/>
  <c r="Q192" i="2"/>
  <c r="Q214" i="2" s="1"/>
  <c r="P192" i="2"/>
  <c r="P214" i="2" s="1"/>
  <c r="O192" i="2"/>
  <c r="N192" i="2"/>
  <c r="M192" i="2"/>
  <c r="M214" i="2" s="1"/>
  <c r="L192" i="2"/>
  <c r="L214" i="2" s="1"/>
  <c r="K192" i="2"/>
  <c r="J192" i="2"/>
  <c r="I192" i="2"/>
  <c r="I214" i="2" s="1"/>
  <c r="H192" i="2"/>
  <c r="H214" i="2" s="1"/>
  <c r="G19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S152" i="2"/>
  <c r="R152" i="2"/>
  <c r="R183" i="2" s="1"/>
  <c r="R261" i="2" s="1"/>
  <c r="R263" i="2" s="1"/>
  <c r="Q152" i="2"/>
  <c r="Q183" i="2" s="1"/>
  <c r="Q261" i="2" s="1"/>
  <c r="Q263" i="2" s="1"/>
  <c r="P152" i="2"/>
  <c r="O152" i="2"/>
  <c r="N152" i="2"/>
  <c r="N183" i="2" s="1"/>
  <c r="N261" i="2" s="1"/>
  <c r="N263" i="2" s="1"/>
  <c r="M152" i="2"/>
  <c r="M183" i="2" s="1"/>
  <c r="M261" i="2" s="1"/>
  <c r="M263" i="2" s="1"/>
  <c r="L152" i="2"/>
  <c r="K152" i="2"/>
  <c r="J152" i="2"/>
  <c r="J183" i="2" s="1"/>
  <c r="J261" i="2" s="1"/>
  <c r="J263" i="2" s="1"/>
  <c r="I152" i="2"/>
  <c r="I183" i="2" s="1"/>
  <c r="I261" i="2" s="1"/>
  <c r="I263" i="2" s="1"/>
  <c r="H152" i="2"/>
  <c r="G152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S99" i="2"/>
  <c r="S134" i="2" s="1"/>
  <c r="S135" i="2" s="1"/>
  <c r="R99" i="2"/>
  <c r="R134" i="2" s="1"/>
  <c r="R135" i="2" s="1"/>
  <c r="R264" i="2" s="1"/>
  <c r="N99" i="2"/>
  <c r="K99" i="2"/>
  <c r="K134" i="2" s="1"/>
  <c r="K135" i="2" s="1"/>
  <c r="J99" i="2"/>
  <c r="J134" i="2" s="1"/>
  <c r="J135" i="2" s="1"/>
  <c r="J264" i="2" s="1"/>
  <c r="S98" i="2"/>
  <c r="R98" i="2"/>
  <c r="Q98" i="2"/>
  <c r="P98" i="2"/>
  <c r="O98" i="2"/>
  <c r="O99" i="2" s="1"/>
  <c r="O134" i="2" s="1"/>
  <c r="O135" i="2" s="1"/>
  <c r="N98" i="2"/>
  <c r="M98" i="2"/>
  <c r="L98" i="2"/>
  <c r="K98" i="2"/>
  <c r="J98" i="2"/>
  <c r="I98" i="2"/>
  <c r="H98" i="2"/>
  <c r="G98" i="2"/>
  <c r="G99" i="2" s="1"/>
  <c r="G134" i="2" s="1"/>
  <c r="G135" i="2" s="1"/>
  <c r="S86" i="2"/>
  <c r="R86" i="2"/>
  <c r="Q86" i="2"/>
  <c r="Q99" i="2" s="1"/>
  <c r="P86" i="2"/>
  <c r="P99" i="2" s="1"/>
  <c r="P134" i="2" s="1"/>
  <c r="P135" i="2" s="1"/>
  <c r="O86" i="2"/>
  <c r="N86" i="2"/>
  <c r="M86" i="2"/>
  <c r="M99" i="2" s="1"/>
  <c r="L86" i="2"/>
  <c r="L99" i="2" s="1"/>
  <c r="L134" i="2" s="1"/>
  <c r="L135" i="2" s="1"/>
  <c r="K86" i="2"/>
  <c r="J86" i="2"/>
  <c r="I86" i="2"/>
  <c r="I99" i="2" s="1"/>
  <c r="H86" i="2"/>
  <c r="H99" i="2" s="1"/>
  <c r="H134" i="2" s="1"/>
  <c r="H135" i="2" s="1"/>
  <c r="G86" i="2"/>
  <c r="R71" i="2"/>
  <c r="Q71" i="2"/>
  <c r="M71" i="2"/>
  <c r="J71" i="2"/>
  <c r="I71" i="2"/>
  <c r="S69" i="2"/>
  <c r="R69" i="2"/>
  <c r="Q69" i="2"/>
  <c r="P69" i="2"/>
  <c r="O69" i="2"/>
  <c r="N69" i="2"/>
  <c r="N71" i="2" s="1"/>
  <c r="M69" i="2"/>
  <c r="L69" i="2"/>
  <c r="K69" i="2"/>
  <c r="J69" i="2"/>
  <c r="I69" i="2"/>
  <c r="H69" i="2"/>
  <c r="G69" i="2"/>
  <c r="S65" i="2"/>
  <c r="S71" i="2" s="1"/>
  <c r="R65" i="2"/>
  <c r="Q65" i="2"/>
  <c r="P65" i="2"/>
  <c r="P71" i="2" s="1"/>
  <c r="O65" i="2"/>
  <c r="O71" i="2" s="1"/>
  <c r="N65" i="2"/>
  <c r="M65" i="2"/>
  <c r="L65" i="2"/>
  <c r="L71" i="2" s="1"/>
  <c r="K65" i="2"/>
  <c r="K71" i="2" s="1"/>
  <c r="J65" i="2"/>
  <c r="I65" i="2"/>
  <c r="H65" i="2"/>
  <c r="H71" i="2" s="1"/>
  <c r="G65" i="2"/>
  <c r="G71" i="2" s="1"/>
  <c r="R58" i="2"/>
  <c r="N58" i="2"/>
  <c r="J58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S49" i="2"/>
  <c r="R49" i="2"/>
  <c r="Q49" i="2"/>
  <c r="Q58" i="2" s="1"/>
  <c r="Q59" i="2" s="1"/>
  <c r="P49" i="2"/>
  <c r="O49" i="2"/>
  <c r="N49" i="2"/>
  <c r="M49" i="2"/>
  <c r="M58" i="2" s="1"/>
  <c r="L49" i="2"/>
  <c r="K49" i="2"/>
  <c r="J49" i="2"/>
  <c r="I49" i="2"/>
  <c r="I58" i="2" s="1"/>
  <c r="I59" i="2" s="1"/>
  <c r="H49" i="2"/>
  <c r="G49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L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S18" i="2"/>
  <c r="R18" i="2"/>
  <c r="Q18" i="2"/>
  <c r="P18" i="2"/>
  <c r="P35" i="2" s="1"/>
  <c r="O18" i="2"/>
  <c r="N18" i="2"/>
  <c r="M18" i="2"/>
  <c r="L18" i="2"/>
  <c r="K18" i="2"/>
  <c r="J18" i="2"/>
  <c r="I18" i="2"/>
  <c r="H18" i="2"/>
  <c r="H35" i="2" s="1"/>
  <c r="G18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S10" i="2"/>
  <c r="S35" i="2" s="1"/>
  <c r="R10" i="2"/>
  <c r="R35" i="2" s="1"/>
  <c r="Q10" i="2"/>
  <c r="Q35" i="2" s="1"/>
  <c r="P10" i="2"/>
  <c r="O10" i="2"/>
  <c r="O35" i="2" s="1"/>
  <c r="N10" i="2"/>
  <c r="N35" i="2" s="1"/>
  <c r="M10" i="2"/>
  <c r="M35" i="2" s="1"/>
  <c r="L10" i="2"/>
  <c r="K10" i="2"/>
  <c r="K35" i="2" s="1"/>
  <c r="J10" i="2"/>
  <c r="J35" i="2" s="1"/>
  <c r="I10" i="2"/>
  <c r="I35" i="2" s="1"/>
  <c r="H10" i="2"/>
  <c r="G10" i="2"/>
  <c r="G35" i="2" s="1"/>
  <c r="L264" i="2" l="1"/>
  <c r="L265" i="2" s="1"/>
  <c r="R265" i="2"/>
  <c r="J387" i="2"/>
  <c r="R387" i="2"/>
  <c r="O264" i="2"/>
  <c r="O265" i="2" s="1"/>
  <c r="M59" i="2"/>
  <c r="J265" i="2"/>
  <c r="J389" i="2"/>
  <c r="J409" i="2" s="1"/>
  <c r="J435" i="2" s="1"/>
  <c r="K387" i="2"/>
  <c r="S387" i="2"/>
  <c r="G58" i="2"/>
  <c r="K58" i="2"/>
  <c r="K59" i="2" s="1"/>
  <c r="K389" i="2" s="1"/>
  <c r="K409" i="2" s="1"/>
  <c r="K435" i="2" s="1"/>
  <c r="O58" i="2"/>
  <c r="O59" i="2" s="1"/>
  <c r="O389" i="2" s="1"/>
  <c r="O409" i="2" s="1"/>
  <c r="O435" i="2" s="1"/>
  <c r="S58" i="2"/>
  <c r="S59" i="2" s="1"/>
  <c r="N134" i="2"/>
  <c r="N135" i="2" s="1"/>
  <c r="N264" i="2" s="1"/>
  <c r="N265" i="2" s="1"/>
  <c r="G183" i="2"/>
  <c r="G261" i="2" s="1"/>
  <c r="G263" i="2" s="1"/>
  <c r="G264" i="2" s="1"/>
  <c r="G265" i="2" s="1"/>
  <c r="K183" i="2"/>
  <c r="K261" i="2" s="1"/>
  <c r="K263" i="2" s="1"/>
  <c r="K264" i="2" s="1"/>
  <c r="K265" i="2" s="1"/>
  <c r="O183" i="2"/>
  <c r="O261" i="2" s="1"/>
  <c r="O263" i="2" s="1"/>
  <c r="S183" i="2"/>
  <c r="S261" i="2" s="1"/>
  <c r="S263" i="2" s="1"/>
  <c r="S264" i="2" s="1"/>
  <c r="S265" i="2" s="1"/>
  <c r="G59" i="2"/>
  <c r="G389" i="2" s="1"/>
  <c r="G409" i="2" s="1"/>
  <c r="G435" i="2" s="1"/>
  <c r="J59" i="2"/>
  <c r="N59" i="2"/>
  <c r="R59" i="2"/>
  <c r="R389" i="2" s="1"/>
  <c r="R409" i="2" s="1"/>
  <c r="R435" i="2" s="1"/>
  <c r="H58" i="2"/>
  <c r="H59" i="2" s="1"/>
  <c r="L58" i="2"/>
  <c r="L59" i="2" s="1"/>
  <c r="L389" i="2" s="1"/>
  <c r="L409" i="2" s="1"/>
  <c r="L435" i="2" s="1"/>
  <c r="P58" i="2"/>
  <c r="P59" i="2" s="1"/>
  <c r="I134" i="2"/>
  <c r="I135" i="2" s="1"/>
  <c r="I264" i="2" s="1"/>
  <c r="I265" i="2" s="1"/>
  <c r="M134" i="2"/>
  <c r="M135" i="2" s="1"/>
  <c r="M264" i="2" s="1"/>
  <c r="M265" i="2" s="1"/>
  <c r="Q134" i="2"/>
  <c r="Q135" i="2" s="1"/>
  <c r="Q264" i="2" s="1"/>
  <c r="Q265" i="2" s="1"/>
  <c r="H183" i="2"/>
  <c r="L183" i="2"/>
  <c r="L261" i="2" s="1"/>
  <c r="L263" i="2" s="1"/>
  <c r="P183" i="2"/>
  <c r="P261" i="2" s="1"/>
  <c r="P263" i="2" s="1"/>
  <c r="P264" i="2" s="1"/>
  <c r="P265" i="2" s="1"/>
  <c r="H260" i="2"/>
  <c r="L260" i="2"/>
  <c r="P260" i="2"/>
  <c r="I286" i="2"/>
  <c r="I305" i="2" s="1"/>
  <c r="M286" i="2"/>
  <c r="M305" i="2" s="1"/>
  <c r="Q286" i="2"/>
  <c r="Q305" i="2" s="1"/>
  <c r="G305" i="2"/>
  <c r="G387" i="2" s="1"/>
  <c r="O305" i="2"/>
  <c r="O387" i="2" s="1"/>
  <c r="I360" i="2"/>
  <c r="I386" i="2" s="1"/>
  <c r="M360" i="2"/>
  <c r="M386" i="2" s="1"/>
  <c r="Q360" i="2"/>
  <c r="Q386" i="2" s="1"/>
  <c r="P389" i="2" l="1"/>
  <c r="P409" i="2" s="1"/>
  <c r="P435" i="2" s="1"/>
  <c r="N389" i="2"/>
  <c r="N409" i="2" s="1"/>
  <c r="N435" i="2" s="1"/>
  <c r="S389" i="2"/>
  <c r="S409" i="2" s="1"/>
  <c r="S435" i="2" s="1"/>
  <c r="I387" i="2"/>
  <c r="I389" i="2" s="1"/>
  <c r="I409" i="2" s="1"/>
  <c r="I435" i="2" s="1"/>
  <c r="Q387" i="2"/>
  <c r="Q389" i="2" s="1"/>
  <c r="Q409" i="2" s="1"/>
  <c r="Q435" i="2" s="1"/>
  <c r="H261" i="2"/>
  <c r="H263" i="2" s="1"/>
  <c r="H264" i="2" s="1"/>
  <c r="H265" i="2" s="1"/>
  <c r="H389" i="2" s="1"/>
  <c r="H409" i="2" s="1"/>
  <c r="H435" i="2" s="1"/>
  <c r="M387" i="2"/>
  <c r="M389" i="2" s="1"/>
  <c r="M409" i="2" s="1"/>
  <c r="M435" i="2" s="1"/>
</calcChain>
</file>

<file path=xl/sharedStrings.xml><?xml version="1.0" encoding="utf-8"?>
<sst xmlns="http://schemas.openxmlformats.org/spreadsheetml/2006/main" count="434" uniqueCount="424">
  <si>
    <t>Account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</si>
  <si>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</si>
  <si>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</si>
  <si>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</si>
  <si>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</si>
  <si>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</si>
  <si>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</si>
  <si>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</si>
  <si>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</si>
  <si>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</si>
  <si>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</si>
  <si>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</si>
  <si>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</si>
  <si>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</si>
  <si>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REVENUE</t>
  </si>
  <si>
    <t>REVENUE - VILLA</t>
  </si>
  <si>
    <t>Rooms Revenue</t>
  </si>
  <si>
    <t>Total REVENUE - VILLA</t>
  </si>
  <si>
    <t>REVENUE - FOOD</t>
  </si>
  <si>
    <t>Food Revenue</t>
  </si>
  <si>
    <t>Banquet - Food Revenue</t>
  </si>
  <si>
    <t>Total REVENUE - FOOD</t>
  </si>
  <si>
    <t>REVENUE - BEVERAGE</t>
  </si>
  <si>
    <t>Beverage Revenue</t>
  </si>
  <si>
    <t>Banquet - Beverage Revenue</t>
  </si>
  <si>
    <t>Total REVENUE - BEVERAGE</t>
  </si>
  <si>
    <t>REVENUE - TRANSPORT</t>
  </si>
  <si>
    <t>Other Revenue - Transportation</t>
  </si>
  <si>
    <t>Total REVENUE - TRANSPORT</t>
  </si>
  <si>
    <t>REVENUE - LAUNDRY</t>
  </si>
  <si>
    <t>Laundry Revenue</t>
  </si>
  <si>
    <t>Total REVENUE - LAUNDRY</t>
  </si>
  <si>
    <t>REVENUE - WELLNESS</t>
  </si>
  <si>
    <t>Wellness &amp; Fitness Revenue</t>
  </si>
  <si>
    <t>Total REVENUE - WELLNESS</t>
  </si>
  <si>
    <t>OTHER INCOME</t>
  </si>
  <si>
    <t>Other Revenue</t>
  </si>
  <si>
    <t>Guest Activities Revenue</t>
  </si>
  <si>
    <t>Consignment Revenue</t>
  </si>
  <si>
    <t>CAM Fee</t>
  </si>
  <si>
    <t>SVM Fee</t>
  </si>
  <si>
    <t>Total OTHER INCOME</t>
  </si>
  <si>
    <t>Total REVENUE</t>
  </si>
  <si>
    <t>COST OF SALES</t>
  </si>
  <si>
    <t>COGS - FOOD</t>
  </si>
  <si>
    <t>Cost of Sales - Food</t>
  </si>
  <si>
    <t>Cost Of Sales - Banquet Food</t>
  </si>
  <si>
    <t>Total COGS - FOOD</t>
  </si>
  <si>
    <t>COGS - BEVERAGE</t>
  </si>
  <si>
    <t>Cost Of Sales - Beverage</t>
  </si>
  <si>
    <t>Cost Of Sales - Banquet Beverage</t>
  </si>
  <si>
    <t>Total COGS - BEVERAGE</t>
  </si>
  <si>
    <t>OTHER COST</t>
  </si>
  <si>
    <t>COST OF WELLNESS</t>
  </si>
  <si>
    <t>Cost Of Sales - Wellness Centre</t>
  </si>
  <si>
    <t>Total COST OF WELLNESS</t>
  </si>
  <si>
    <t>COST OF LAUNDRY</t>
  </si>
  <si>
    <t>Cost Of Sales - Laundry</t>
  </si>
  <si>
    <t>Total COST OF LAUNDRY</t>
  </si>
  <si>
    <t>COGS MOD</t>
  </si>
  <si>
    <t>Cost of Sales - Transportation</t>
  </si>
  <si>
    <t>Cost of Sales - Guest Activities</t>
  </si>
  <si>
    <t>Cost Of Sales - Other</t>
  </si>
  <si>
    <t>Total COGS MOD</t>
  </si>
  <si>
    <t>Total OTHER COST</t>
  </si>
  <si>
    <t>Total COST OF SALES</t>
  </si>
  <si>
    <t>OTHER EXPENSES</t>
  </si>
  <si>
    <t>ENERGY</t>
  </si>
  <si>
    <t xml:space="preserve">ENERGY - OPERATING DEPT </t>
  </si>
  <si>
    <t>ENERGY - LPG - OPERATING DEPT</t>
  </si>
  <si>
    <t>Total ENERGY - OPERATING DEPT</t>
  </si>
  <si>
    <t>ENERGY - NON OPERATING DEPT</t>
  </si>
  <si>
    <t>ENERGY - LPG - NON OPERATING DEPT</t>
  </si>
  <si>
    <t>ENERGY - ELECTRICITY - NON OPERATING DEPT</t>
  </si>
  <si>
    <t>Total ENERGY - NON OPERATING DEPT</t>
  </si>
  <si>
    <t>ENERGY - WATER</t>
  </si>
  <si>
    <t>Total ENERGY</t>
  </si>
  <si>
    <t>OPERATING DEPARTEMENT COST &amp; EXPENSES</t>
  </si>
  <si>
    <t xml:space="preserve">EXPENSES - OPERATING DEPT </t>
  </si>
  <si>
    <t>DEPT - VILLAS / ROOMS OTHER EXPENSES</t>
  </si>
  <si>
    <t>DEPT - HOUSEKEEPING OTHER EXPENSES</t>
  </si>
  <si>
    <t>HK - Equipments Expense</t>
  </si>
  <si>
    <t>HK - Operating Supplies Expense</t>
  </si>
  <si>
    <t>HK - Guest Supplies Expense</t>
  </si>
  <si>
    <t>HK - Laundry and Dry Cleaning</t>
  </si>
  <si>
    <t>HK - Transport</t>
  </si>
  <si>
    <t>HK - Cleaning Supplies Expense</t>
  </si>
  <si>
    <t>HK - Freight &amp; Courier</t>
  </si>
  <si>
    <t>HK - Printing &amp; Stationery</t>
  </si>
  <si>
    <t>HK - Uniform</t>
  </si>
  <si>
    <t>Total DEPT - HOUSEKEEPING OTHER EXPENSES</t>
  </si>
  <si>
    <t>DEPT - FO - OTHER EXPENSES</t>
  </si>
  <si>
    <t>FO - Parking</t>
  </si>
  <si>
    <t>FO - Operating Supplies Expense</t>
  </si>
  <si>
    <t>FO - Agent Commissions</t>
  </si>
  <si>
    <t>FO - Entertainment</t>
  </si>
  <si>
    <t>FO - Complimentary Services &amp; Gift</t>
  </si>
  <si>
    <t>FO - Printing &amp; Stationery</t>
  </si>
  <si>
    <t>FO - Transport</t>
  </si>
  <si>
    <t>FO - Guest Activities</t>
  </si>
  <si>
    <t>FO - Uniform</t>
  </si>
  <si>
    <t>FO – Guest Recovery</t>
  </si>
  <si>
    <t>Total DEPT - FO - OTHER EXPENSES</t>
  </si>
  <si>
    <t>Total DEPT - VILLAS / ROOMS OTHER EXPENSES</t>
  </si>
  <si>
    <t>DEPT - FOOD &amp; BEVERAGE OTHER EXPENSES</t>
  </si>
  <si>
    <t>FnB - Agent Commissions</t>
  </si>
  <si>
    <t>FnB - Cleaning Supplies Expense</t>
  </si>
  <si>
    <t>FnB - China , Glass, Flatware &amp; U</t>
  </si>
  <si>
    <t>FnB - Commission</t>
  </si>
  <si>
    <t>FnB - Equipments Rental</t>
  </si>
  <si>
    <t>FnB - Food and Beverage Testing</t>
  </si>
  <si>
    <t>FnB - Freight &amp; Courier</t>
  </si>
  <si>
    <t>FnB - Transport and Parking</t>
  </si>
  <si>
    <t>FnB - Guest Supplies Expense</t>
  </si>
  <si>
    <t>FnB - Kitchen Equipment Expense</t>
  </si>
  <si>
    <t>FnB - Music and Entertainment</t>
  </si>
  <si>
    <t>FnB - Operating Supplies Expense</t>
  </si>
  <si>
    <t>FnB - Other Expense</t>
  </si>
  <si>
    <t>FnB - Printing &amp; Stationary</t>
  </si>
  <si>
    <t>FnB - Spoilage</t>
  </si>
  <si>
    <t>FnB - Uniform</t>
  </si>
  <si>
    <t>FnB - Consultant and Professional Fees</t>
  </si>
  <si>
    <t>Total DEPT - FOOD &amp; BEVERAGE OTHER EXPENSES</t>
  </si>
  <si>
    <t>DEPT - WELLNESS OTHER EXPENSES</t>
  </si>
  <si>
    <t>Wellness - Consultant and Professional Fees</t>
  </si>
  <si>
    <t>Wellness - Complimentary Services &amp; Gift</t>
  </si>
  <si>
    <t>Wellness - Commission</t>
  </si>
  <si>
    <t>Wellness - Cleaning Supplies Expense</t>
  </si>
  <si>
    <t>Wellness - Health &amp; Beauty Products</t>
  </si>
  <si>
    <t>Wellness - Entertainment</t>
  </si>
  <si>
    <t>Wellness - Operating Supplies Expense</t>
  </si>
  <si>
    <t>Wellness - Printing &amp; Stationary</t>
  </si>
  <si>
    <t>Wellness - Transport</t>
  </si>
  <si>
    <t>Wellness - Uniform</t>
  </si>
  <si>
    <t>Wellness - LPG Expense</t>
  </si>
  <si>
    <t>Wellness - Uniform Laundry</t>
  </si>
  <si>
    <t>Wellness - Laundry and Dry Cleaning</t>
  </si>
  <si>
    <t>Total DEPT - WELLNESS OTHER EXPENSES</t>
  </si>
  <si>
    <t>Total EXPENSES - OPERATING DEPT</t>
  </si>
  <si>
    <t>Total OPERATING DEPARTEMENT COST &amp; EXPENSES</t>
  </si>
  <si>
    <t>NON-OPERATING DEPARTEMENT EXPENSES</t>
  </si>
  <si>
    <t>NON-OPERATING DEPARTEMENT OTHER EXPENSES</t>
  </si>
  <si>
    <t>DEPT - A&amp;G - OTHER EXPENSES</t>
  </si>
  <si>
    <t>A&amp;G - Consultant and Professional Fees</t>
  </si>
  <si>
    <t>A&amp;G - Entertainment</t>
  </si>
  <si>
    <t>A&amp;G - Head Office Expense</t>
  </si>
  <si>
    <t>A&amp;G - Operating Supplies Expense</t>
  </si>
  <si>
    <t>A&amp;G - Printing &amp; Stationery</t>
  </si>
  <si>
    <t>A&amp;G - Transport &amp; Parking</t>
  </si>
  <si>
    <t>A&amp;G - Travel</t>
  </si>
  <si>
    <t>A&amp;G - Uniform</t>
  </si>
  <si>
    <t>A&amp;G - Uniform Laundry</t>
  </si>
  <si>
    <t>A&amp;G - Rent Machine</t>
  </si>
  <si>
    <t>A&amp;G – House Use Room &amp; F&amp;B</t>
  </si>
  <si>
    <t>A&amp;G - Audit Fee</t>
  </si>
  <si>
    <t>Total DEPT - A&amp;G - OTHER EXPENSES</t>
  </si>
  <si>
    <t>DEPT - ACC &amp; FIN - OTHER EXPENSES</t>
  </si>
  <si>
    <t>ACC&amp;F - Bank Charges</t>
  </si>
  <si>
    <t>ACC&amp;F - Bank Revaluations</t>
  </si>
  <si>
    <t>ACC&amp;F - Consultant and Professional Fee</t>
  </si>
  <si>
    <t>ACC&amp;F - Credit card Commission</t>
  </si>
  <si>
    <t>ACC&amp;F - Donation</t>
  </si>
  <si>
    <t>ACC&amp;F - Entertainment</t>
  </si>
  <si>
    <t>ACC&amp;F - ERP , CRM , Accounting</t>
  </si>
  <si>
    <t>ACC&amp;F - Freight &amp; Courier</t>
  </si>
  <si>
    <t>ACC&amp;F - Operating Supplies Expense</t>
  </si>
  <si>
    <t>ACC&amp;F - Printing &amp; Stationary</t>
  </si>
  <si>
    <t>ACC&amp;F - Transport &amp; Parking</t>
  </si>
  <si>
    <t>ACC&amp;F - Telecommunication</t>
  </si>
  <si>
    <t>Total DEPT - ACC &amp; FIN - OTHER EXPENSES</t>
  </si>
  <si>
    <t>DEPT - LEGAL - OTHER EXPENSES</t>
  </si>
  <si>
    <t>Legal - Freight &amp; Courier</t>
  </si>
  <si>
    <t>Legal - Printing &amp; Stationary</t>
  </si>
  <si>
    <t>Legal - Uniform Laundry</t>
  </si>
  <si>
    <t>Legal - Operating Supplies</t>
  </si>
  <si>
    <t>Legal - Transport</t>
  </si>
  <si>
    <t>Legal - Entertainment</t>
  </si>
  <si>
    <t>Total DEPT - LEGAL - OTHER EXPENSES</t>
  </si>
  <si>
    <t>DEPT - IT - OTHER EXPENSES</t>
  </si>
  <si>
    <t>IT - Operating Supplies Expense</t>
  </si>
  <si>
    <t>IT - Printing &amp; Stationary</t>
  </si>
  <si>
    <t>IT - Freight &amp; Courier</t>
  </si>
  <si>
    <t>IT - Transport</t>
  </si>
  <si>
    <t>IT - Hardware and Equipment Expense</t>
  </si>
  <si>
    <t>IT - Subscription</t>
  </si>
  <si>
    <t>Total DEPT - IT - OTHER EXPENSES</t>
  </si>
  <si>
    <t>DEPT - ENG &amp; POM - OTHER EXPENSES</t>
  </si>
  <si>
    <t>DEPT - ENG - OTHER EXPENSES</t>
  </si>
  <si>
    <t>ENG - Equipments Expense</t>
  </si>
  <si>
    <t>ENG - Operating Supplies Expense</t>
  </si>
  <si>
    <t>ENG - Transport</t>
  </si>
  <si>
    <t>ENG - Freight &amp; Courier</t>
  </si>
  <si>
    <t>ENG - Printing &amp; Stationery</t>
  </si>
  <si>
    <t>ENG - Uniform</t>
  </si>
  <si>
    <t>Total DEPT - ENG - OTHER EXPENSES</t>
  </si>
  <si>
    <t>DEPT - POM - OTHER EXPENSES</t>
  </si>
  <si>
    <t>POM - Swimming Pool</t>
  </si>
  <si>
    <t>POM - Furnitures &amp; Equipments Expense</t>
  </si>
  <si>
    <t>POM - Painting and Decorations</t>
  </si>
  <si>
    <t>POM - Vehicle Repairs and Maintenance</t>
  </si>
  <si>
    <t>POM - Uniform</t>
  </si>
  <si>
    <t>POM - Pest Control</t>
  </si>
  <si>
    <t>POM - Pump Expense</t>
  </si>
  <si>
    <t>POM - Transport &amp; Parking</t>
  </si>
  <si>
    <t>POM - Operating Supplies Expense</t>
  </si>
  <si>
    <t>POM - Light Bulbs</t>
  </si>
  <si>
    <t>POM - Car Repair and Maintenance</t>
  </si>
  <si>
    <t>POM - Fuel for Genset</t>
  </si>
  <si>
    <t>POM - Insurance Expense</t>
  </si>
  <si>
    <t>POM - Heating, Ventilation &amp; AC</t>
  </si>
  <si>
    <t>POM - Plumbing</t>
  </si>
  <si>
    <t>POM - Cleaning &amp; Chemical Supplies</t>
  </si>
  <si>
    <t>POM - Repairs &amp; Maintenance Machine</t>
  </si>
  <si>
    <t>POM - Maint. Building</t>
  </si>
  <si>
    <t>POM - Grounds Maintenance and Landscaping</t>
  </si>
  <si>
    <t>Total DEPT - POM - OTHER EXPENSES</t>
  </si>
  <si>
    <t>Total DEPT - ENG &amp; POM - OTHER EXPENSES</t>
  </si>
  <si>
    <t>DEPT - S&amp;M - OTHER EXPENSES</t>
  </si>
  <si>
    <t>S&amp;M - Complimentary Services &amp; Gift</t>
  </si>
  <si>
    <t>S&amp;M - Operating Supplies Expense</t>
  </si>
  <si>
    <t>S&amp;M - Transport</t>
  </si>
  <si>
    <t>S&amp;M - Travel</t>
  </si>
  <si>
    <t>S&amp;M - Freight &amp; Courier</t>
  </si>
  <si>
    <t>S&amp;M - Consultant and Professional Fees</t>
  </si>
  <si>
    <t>S&amp;M - Telecommunication</t>
  </si>
  <si>
    <t>S&amp;M : Advertising Magazines and Newspaper</t>
  </si>
  <si>
    <t>S&amp;M - Subscriptions</t>
  </si>
  <si>
    <t>S&amp;M - Printing &amp; Stationary</t>
  </si>
  <si>
    <t>S&amp;M - Entertainment</t>
  </si>
  <si>
    <t>S&amp;M - Brochures and Flyers</t>
  </si>
  <si>
    <t>S&amp;M - Trade Show</t>
  </si>
  <si>
    <t>S&amp;M - Promotion</t>
  </si>
  <si>
    <t>S&amp;M - Marketing Fees</t>
  </si>
  <si>
    <t>S&amp;M - Other Expense</t>
  </si>
  <si>
    <t>Total DEPT - S&amp;M - OTHER EXPENSES</t>
  </si>
  <si>
    <t>DEPT - HR &amp; GA - OTHER EXPENSES</t>
  </si>
  <si>
    <t>DEPT - HR - OTHER EXPENSES</t>
  </si>
  <si>
    <t>HR - Canteen Equipment Expense</t>
  </si>
  <si>
    <t>HR - Employee Relations</t>
  </si>
  <si>
    <t>HR - Employee Dining Room</t>
  </si>
  <si>
    <t>HR - Entertainment</t>
  </si>
  <si>
    <t>HR - Uniform</t>
  </si>
  <si>
    <t>HR - Staff Quarter Equipments</t>
  </si>
  <si>
    <t>HR - Stamp Duties</t>
  </si>
  <si>
    <t>HR - Transport &amp; Parking</t>
  </si>
  <si>
    <t>HR - Uniform Laundry</t>
  </si>
  <si>
    <t>HR - Printing &amp; Stationary</t>
  </si>
  <si>
    <t>HR - Operating Supplies Expense</t>
  </si>
  <si>
    <t>HR - Recruitment</t>
  </si>
  <si>
    <t>HR - Medical Expenses</t>
  </si>
  <si>
    <t>HR - Software</t>
  </si>
  <si>
    <t>HR - Other Expense</t>
  </si>
  <si>
    <t>HR - Permit and Licency Expense</t>
  </si>
  <si>
    <t>HR - Trainee Expense</t>
  </si>
  <si>
    <t>HR - Staff Benefit</t>
  </si>
  <si>
    <t>Total DEPT - HR - OTHER EXPENSES</t>
  </si>
  <si>
    <t>DEPT - SECURITY - OTHER EXPENSES</t>
  </si>
  <si>
    <t>Security - Transport</t>
  </si>
  <si>
    <t>Security - Operating Supplies Expense</t>
  </si>
  <si>
    <t>Security - Printing &amp; Stationary</t>
  </si>
  <si>
    <t>Security - Uniform</t>
  </si>
  <si>
    <t>Total DEPT - SECURITY - OTHER EXPENSES</t>
  </si>
  <si>
    <t>Total DEPT - HR &amp; GA - OTHER EXPENSES</t>
  </si>
  <si>
    <t>Total NON-OPERATING DEPARTEMENT OTHER EXPENSES</t>
  </si>
  <si>
    <t>VILLA EXPENSES</t>
  </si>
  <si>
    <t>Total NON-OPERATING DEPARTEMENT EXPENSES</t>
  </si>
  <si>
    <t>Total OTHER EXPENSES</t>
  </si>
  <si>
    <t>PAYROLL</t>
  </si>
  <si>
    <t>PAYROLL - OPERATING DEPT</t>
  </si>
  <si>
    <t>DEPT VILLAS / ROOMS</t>
  </si>
  <si>
    <t>DEPT - HK - PAYROLL</t>
  </si>
  <si>
    <t>HK - Salaries &amp; Wages</t>
  </si>
  <si>
    <t>HK - BPJS KETENAGAKERJAAN</t>
  </si>
  <si>
    <t>HK - BPJS KESEHATAN</t>
  </si>
  <si>
    <t>HK - THR and Bonus</t>
  </si>
  <si>
    <t>HK - Daily Worker</t>
  </si>
  <si>
    <t>HK - Employee Meals</t>
  </si>
  <si>
    <t>Total DEPT - HK - PAYROLL</t>
  </si>
  <si>
    <t>DEPT - FO - PAYROLL</t>
  </si>
  <si>
    <t>FO - Salaries &amp; Wages</t>
  </si>
  <si>
    <t>FO - BPJS KETENAGAKERJAAN</t>
  </si>
  <si>
    <t>FO - BPJS KESEHATAN</t>
  </si>
  <si>
    <t>FO - THR and Bonus</t>
  </si>
  <si>
    <t>FO - Daily Worker</t>
  </si>
  <si>
    <t>FO - Employee Meals</t>
  </si>
  <si>
    <t>Total DEPT - FO - PAYROLL</t>
  </si>
  <si>
    <t>Total DEPT VILLAS / ROOMS</t>
  </si>
  <si>
    <t>DEPT - FOOD &amp; BEVERAGE</t>
  </si>
  <si>
    <t>FnB - Salaries &amp; Wages</t>
  </si>
  <si>
    <t>FnB - Income Tax Expense</t>
  </si>
  <si>
    <t>FnB - BPJS KETENAGAKERJAAN</t>
  </si>
  <si>
    <t>FnB - BPJS KESEHATAN</t>
  </si>
  <si>
    <t>FnB - THR and Bonus</t>
  </si>
  <si>
    <t>FnB - Daily Worker</t>
  </si>
  <si>
    <t>FnB - Employee Meals</t>
  </si>
  <si>
    <t>Total DEPT - FOOD &amp; BEVERAGE</t>
  </si>
  <si>
    <t>DEPT - WELLNESS</t>
  </si>
  <si>
    <t>Wellness - Salaries &amp; Wages</t>
  </si>
  <si>
    <t>Wellness - Income Tax Expense</t>
  </si>
  <si>
    <t>Wellness - BPJS KETENAGAKERJAAN</t>
  </si>
  <si>
    <t>Wellness - BPJS KESEHATAN</t>
  </si>
  <si>
    <t>Wellness - THR and Bonus</t>
  </si>
  <si>
    <t>Wellness - Daily Worker</t>
  </si>
  <si>
    <t>Wellness - Employee Meals</t>
  </si>
  <si>
    <t>Total DEPT - WELLNESS</t>
  </si>
  <si>
    <t>Total PAYROLL - OPERATING DEPT</t>
  </si>
  <si>
    <t>PAYROLL - NON OPERATING DEPT</t>
  </si>
  <si>
    <t>DEPT - A&amp;G - PAYROLL</t>
  </si>
  <si>
    <t>DEPT - ACC &amp; FIN - PAYROLL</t>
  </si>
  <si>
    <t>ACC&amp;F - Salaries &amp; Wages</t>
  </si>
  <si>
    <t>ACC&amp;F - Income Tax Expense</t>
  </si>
  <si>
    <t>ACC&amp;F - BPJS KETENAGAKERJAAN</t>
  </si>
  <si>
    <t>ACC&amp;F - BPJS KESEHATAN</t>
  </si>
  <si>
    <t>ACC&amp;F - THR and Bonus</t>
  </si>
  <si>
    <t>ACC&amp;F - Employee Meals</t>
  </si>
  <si>
    <t>Total DEPT - ACC &amp; FIN - PAYROLL</t>
  </si>
  <si>
    <t>A&amp;G - Salaries &amp; Wages</t>
  </si>
  <si>
    <t>A&amp;G - BPJS KETENAGAKERJAAN</t>
  </si>
  <si>
    <t>A&amp;G - BPJS KESEHATAN</t>
  </si>
  <si>
    <t>A&amp;G - THR and Bonus</t>
  </si>
  <si>
    <t>A&amp;G - Daily Worker</t>
  </si>
  <si>
    <t>A&amp;G - Employee Meals</t>
  </si>
  <si>
    <t>A&amp;G - Employee Insurance</t>
  </si>
  <si>
    <t>Total DEPT - A&amp;G - PAYROLL</t>
  </si>
  <si>
    <t>DEPT - LEGAL - PAYROLL</t>
  </si>
  <si>
    <t>Legal - Salaries &amp; Wages</t>
  </si>
  <si>
    <t>Legal - BPJS KETENAGAKERJAAN</t>
  </si>
  <si>
    <t>Legal - BPJS KESEHATAN</t>
  </si>
  <si>
    <t>Legal - THR and Bonus</t>
  </si>
  <si>
    <t>Legal - Employee Meals</t>
  </si>
  <si>
    <t>Total DEPT - LEGAL - PAYROLL</t>
  </si>
  <si>
    <t>DEPT - INFORMATION &amp; TECHNOLOGY - PAYROLL</t>
  </si>
  <si>
    <t>IT - Salaries &amp; Wages</t>
  </si>
  <si>
    <t>IT - BPJS KETENAGAKERJAAN</t>
  </si>
  <si>
    <t>IT - BPJS KESEHATAN</t>
  </si>
  <si>
    <t>IT - THR and Bonus</t>
  </si>
  <si>
    <t>IT - Employee Meals</t>
  </si>
  <si>
    <t>Total DEPT - INFORMATION &amp; TECHNOLOGY - PAYROLL</t>
  </si>
  <si>
    <t>DEPT - ENG, CAM AND POM - PAYROLL</t>
  </si>
  <si>
    <t>DEPT - ENG - PAYROLL</t>
  </si>
  <si>
    <t>ENG - Salaries &amp; Wages</t>
  </si>
  <si>
    <t>ENG - BPJS KETENAGAKERJAAN</t>
  </si>
  <si>
    <t>ENG - BPJS KESEHATAN</t>
  </si>
  <si>
    <t>ENG - THR and Bonus</t>
  </si>
  <si>
    <t>ENG - Daily Worker</t>
  </si>
  <si>
    <t>ENG - Employee Meals</t>
  </si>
  <si>
    <t>Total DEPT - ENG - PAYROLL</t>
  </si>
  <si>
    <t>DEPT - CAM - PAYROLL</t>
  </si>
  <si>
    <t>CAM - Daily Worker</t>
  </si>
  <si>
    <t>Total DEPT - CAM - PAYROLL</t>
  </si>
  <si>
    <t>DEPT - POM - PAYROLL</t>
  </si>
  <si>
    <t>POM - Salaries &amp; Wages</t>
  </si>
  <si>
    <t>POM - BPJS KETENAGAKERJAAN</t>
  </si>
  <si>
    <t>POM - BPJS KESEHATAN</t>
  </si>
  <si>
    <t>POM - THR and Bonus</t>
  </si>
  <si>
    <t>POM - Daily Worker</t>
  </si>
  <si>
    <t>POM - Employee Meals</t>
  </si>
  <si>
    <t>Total DEPT - POM - PAYROLL</t>
  </si>
  <si>
    <t>Total DEPT - ENG, CAM AND POM - PAYROLL</t>
  </si>
  <si>
    <t>DEPT - SALES &amp; MARKETING - PAYROLL</t>
  </si>
  <si>
    <t>S&amp;M - Salaries &amp; Wages</t>
  </si>
  <si>
    <t>S&amp;M - Income Tax Expense</t>
  </si>
  <si>
    <t>S&amp;M - BPJS KETENAGAKERJAAN</t>
  </si>
  <si>
    <t>S&amp;M - BPJS KESEHATAN</t>
  </si>
  <si>
    <t>S&amp;M - THR and Bonus</t>
  </si>
  <si>
    <t>S&amp;M - Employee Meals</t>
  </si>
  <si>
    <t>Total DEPT - SALES &amp; MARKETING - PAYROLL</t>
  </si>
  <si>
    <t>DEPT - HR &amp; GA - PAYROLL</t>
  </si>
  <si>
    <t>DEPT - HR - PAYROLL</t>
  </si>
  <si>
    <t>HR - Salaries &amp; Wages</t>
  </si>
  <si>
    <t>HR - BPJS KETENAGAKERJAAN</t>
  </si>
  <si>
    <t>HR - BPJS KESEHATAN</t>
  </si>
  <si>
    <t>HR - THR and Bonus</t>
  </si>
  <si>
    <t>HR - Employee Meals</t>
  </si>
  <si>
    <t>Total DEPT - HR - PAYROLL</t>
  </si>
  <si>
    <t>DEPT - SECURITY - PAYROLL</t>
  </si>
  <si>
    <t>Security - Salaries &amp; Wages</t>
  </si>
  <si>
    <t>Security - BPJS KETENAGAKERJAAN</t>
  </si>
  <si>
    <t>Security - BPJS KESEHATAN</t>
  </si>
  <si>
    <t>Security - THR and Bonus</t>
  </si>
  <si>
    <t>Security - Daily Worker</t>
  </si>
  <si>
    <t>Security - Employee Meals</t>
  </si>
  <si>
    <t>Total DEPT - SECURITY - PAYROLL</t>
  </si>
  <si>
    <t>Total DEPT - HR &amp; GA - PAYROLL</t>
  </si>
  <si>
    <t>Total PAYROLL - NON OPERATING DEPT</t>
  </si>
  <si>
    <t>Total PAYROLL</t>
  </si>
  <si>
    <t>GROSS OPERATING PROFIT (LOSS)</t>
  </si>
  <si>
    <t>OTHER INCOME AND EXPENSES</t>
  </si>
  <si>
    <t>Miscellaneous Income</t>
  </si>
  <si>
    <t>Unrealised Exchange Gain/(Loss)</t>
  </si>
  <si>
    <t>Gain/Loss on Forex</t>
  </si>
  <si>
    <t>Realised Exchange gain/(Loss)</t>
  </si>
  <si>
    <t>Tax Expense</t>
  </si>
  <si>
    <t>FF&amp;E Reserve</t>
  </si>
  <si>
    <t>Corporate Service</t>
  </si>
  <si>
    <t>Management Fees</t>
  </si>
  <si>
    <t>Professional Fees</t>
  </si>
  <si>
    <t>Employee Meals</t>
  </si>
  <si>
    <t>Rounding</t>
  </si>
  <si>
    <t>Total OTHER INCOME AND EXPENSES</t>
  </si>
  <si>
    <t>EBITDA</t>
  </si>
  <si>
    <t>FIXED CHARGES</t>
  </si>
  <si>
    <t>DEPRECIATION</t>
  </si>
  <si>
    <t>Depreciation Expense - Building and Villa</t>
  </si>
  <si>
    <t>Depreciation Expense - Furniture, Fixtures and Infrastructures</t>
  </si>
  <si>
    <t>Depreciation Expense - IT &amp; Electronic Equipments</t>
  </si>
  <si>
    <t>Depreciation Expense - Machineries</t>
  </si>
  <si>
    <t>Depreciation Expense - Vehicles</t>
  </si>
  <si>
    <t>Depreciation Expense - FAS - Fire &amp; Safety System</t>
  </si>
  <si>
    <t>Depreciation Expense - FAS - Communication/Telephone</t>
  </si>
  <si>
    <t>Depreciation Expense - FAS - Housekeeping Equipment</t>
  </si>
  <si>
    <t>Depreciation Expense - FAS - Kitchen Equipment</t>
  </si>
  <si>
    <t>Depreciation Expense - FAS - Hardware</t>
  </si>
  <si>
    <t>Depreciation Expense - FAS - Air Conditioning</t>
  </si>
  <si>
    <t>Depreciation Expense - FAS - Electrical Equipment</t>
  </si>
  <si>
    <t>Depreciation Expense - FAS - Guest Equipment</t>
  </si>
  <si>
    <t>Depreciation Expense - FAS - Wellness Centre Equipment</t>
  </si>
  <si>
    <t>Total DEPRECIATION</t>
  </si>
  <si>
    <t>Total FIXED CHARGES</t>
  </si>
  <si>
    <t>UNUSED ACCOUNT</t>
  </si>
  <si>
    <t>Sales &amp; Marketing Expenses</t>
  </si>
  <si>
    <t>SG&amp;A: Office - Rent (Equipment) (4)</t>
  </si>
  <si>
    <t>Total UNUSED ACCOUNT</t>
  </si>
  <si>
    <t>NETT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</si>
</sst>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/>
    <xf numFmtId="0" fontId="4" fillId="0" borderId="0" xfId="1" applyFont="1" applyAlignment="1">
      <alignment vertical="center"/>
    </xf>
    <xf numFmtId="0" fontId="4" fillId="0" borderId="0" xfId="1" applyFont="1"/>
    <xf numFmtId="0" fontId="1" fillId="0" borderId="0" xfId="1"/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right" vertical="center"/>
    </xf>
    <xf numFmtId="0" fontId="6" fillId="0" borderId="0" xfId="1" applyFont="1"/>
    <xf numFmtId="0" fontId="1" fillId="0" borderId="1" xfId="1" applyBorder="1" applyAlignment="1">
      <alignment vertical="center"/>
    </xf>
    <xf numFmtId="0" fontId="7" fillId="0" borderId="0" xfId="1" applyFont="1" applyAlignment="1">
      <alignment vertical="center"/>
    </xf>
    <xf numFmtId="0" fontId="1" fillId="0" borderId="2" xfId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" fillId="0" borderId="0" xfId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2">
    <cellStyle name="Normal" xfId="0" builtinId="0"/>
    <cellStyle name="Normal 2" xfId="1" xr:uid="{96DFE44F-28B1-4F3E-A5C5-557AE9CEB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E021-5EEA-4B46-A1F6-05049D37EBAD}">
  <dimension ref="A1:S435"/>
  <sheetViews>
    <sheetView showGridLines="0" tabSelected="1" zoomScaleNormal="100" workbookViewId="0">
      <selection activeCell="I13" sqref="I13"/>
    </sheetView>
  </sheetViews>
  <sheetFormatPr defaultRowHeight="12" x14ac:dyDescent="0.2"/>
  <cols>
    <col min="1" max="5" width="1.42578125" style="5" customWidth="1"/>
    <col min="6" max="6" width="56.140625" style="5" customWidth="1"/>
    <col min="7" max="7" width="16.42578125" style="5" customWidth="1"/>
    <col min="8" max="8" width="16.7109375" style="5" customWidth="1"/>
    <col min="9" max="11" width="15" style="5" customWidth="1"/>
    <col min="12" max="15" width="16.7109375" style="5" customWidth="1"/>
    <col min="16" max="19" width="15" style="5" customWidth="1"/>
    <col min="20" max="16384" width="9.140625" style="5"/>
  </cols>
  <sheetData>
    <row r="1" spans="1:19" s="2" customFormat="1" ht="16.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4" customFormat="1" ht="14.4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s="4" customFormat="1" ht="14.4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3.35" customHeight="1" x14ac:dyDescent="0.2"/>
    <row r="5" spans="1:19" s="9" customFormat="1" ht="12.2" customHeight="1" x14ac:dyDescent="0.2">
      <c r="A5" s="6"/>
      <c r="B5" s="6"/>
      <c r="C5" s="6"/>
      <c r="D5" s="6"/>
      <c r="E5" s="6"/>
      <c r="F5" s="7" t="s">
        <v>0</v>
      </c>
      <c r="G5" s="8" t="s">
        <v>1</v>
      </c>
      <c r="H5" s="8" t="s">
        <v>2</v>
      </c>
      <c r="I5" s="8" t="s">
        <v>3</v>
      </c>
      <c r="J5" s="8" t="s">
        <v>4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10</v>
      </c>
      <c r="Q5" s="8" t="s">
        <v>11</v>
      </c>
      <c r="R5" s="8" t="s">
        <v>12</v>
      </c>
      <c r="S5" s="8" t="s">
        <v>13</v>
      </c>
    </row>
    <row r="6" spans="1:19" ht="13.35" customHeight="1" x14ac:dyDescent="0.2"/>
    <row r="7" spans="1:19" s="9" customFormat="1" ht="12.2" customHeight="1" x14ac:dyDescent="0.2">
      <c r="A7" s="6" t="s">
        <v>14</v>
      </c>
      <c r="B7" s="6"/>
      <c r="C7" s="6"/>
      <c r="D7" s="6"/>
      <c r="E7" s="6"/>
      <c r="F7" s="6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0.9" customHeight="1" x14ac:dyDescent="0.2">
      <c r="A8" s="11"/>
      <c r="B8" s="11" t="s">
        <v>15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ht="10.9" customHeight="1" x14ac:dyDescent="0.2">
      <c r="F9" s="12" t="s">
        <v>16</v>
      </c>
      <c r="G9" s="16">
        <v>888459419</v>
      </c>
      <c r="H9" s="16">
        <v>1217170381</v>
      </c>
      <c r="I9" s="16">
        <v>825738230</v>
      </c>
      <c r="J9" s="16">
        <v>847205372</v>
      </c>
      <c r="K9" s="16">
        <v>658628003</v>
      </c>
      <c r="L9" s="16">
        <v>1560885538</v>
      </c>
      <c r="M9" s="16">
        <v>1160125848</v>
      </c>
      <c r="N9" s="16">
        <v>2624558250</v>
      </c>
      <c r="O9" s="16">
        <v>1681875116</v>
      </c>
      <c r="P9" s="16">
        <v>890790424</v>
      </c>
      <c r="Q9" s="16">
        <v>780543323</v>
      </c>
      <c r="R9" s="16">
        <v>598525337</v>
      </c>
      <c r="S9" s="16">
        <v>395585406</v>
      </c>
    </row>
    <row r="10" spans="1:19" ht="10.9" customHeight="1" x14ac:dyDescent="0.2">
      <c r="B10" s="13" t="s">
        <v>17</v>
      </c>
      <c r="G10" s="17">
        <f t="shared" ref="G10:S10" si="0">G9</f>
        <v>888459419</v>
      </c>
      <c r="H10" s="17">
        <f t="shared" si="0"/>
        <v>1217170381</v>
      </c>
      <c r="I10" s="17">
        <f t="shared" si="0"/>
        <v>825738230</v>
      </c>
      <c r="J10" s="17">
        <f t="shared" si="0"/>
        <v>847205372</v>
      </c>
      <c r="K10" s="17">
        <f t="shared" si="0"/>
        <v>658628003</v>
      </c>
      <c r="L10" s="17">
        <f t="shared" si="0"/>
        <v>1560885538</v>
      </c>
      <c r="M10" s="17">
        <f t="shared" si="0"/>
        <v>1160125848</v>
      </c>
      <c r="N10" s="17">
        <f t="shared" si="0"/>
        <v>2624558250</v>
      </c>
      <c r="O10" s="17">
        <f t="shared" si="0"/>
        <v>1681875116</v>
      </c>
      <c r="P10" s="17">
        <f t="shared" si="0"/>
        <v>890790424</v>
      </c>
      <c r="Q10" s="17">
        <f t="shared" si="0"/>
        <v>780543323</v>
      </c>
      <c r="R10" s="17">
        <f t="shared" si="0"/>
        <v>598525337</v>
      </c>
      <c r="S10" s="17">
        <f t="shared" si="0"/>
        <v>395585406</v>
      </c>
    </row>
    <row r="11" spans="1:19" ht="10.9" customHeight="1" x14ac:dyDescent="0.2">
      <c r="A11" s="11"/>
      <c r="B11" s="11" t="s">
        <v>18</v>
      </c>
      <c r="C11" s="11"/>
      <c r="D11" s="11"/>
      <c r="E11" s="11"/>
      <c r="F11" s="11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10.9" customHeight="1" x14ac:dyDescent="0.2">
      <c r="F12" s="12" t="s">
        <v>19</v>
      </c>
      <c r="G12" s="16">
        <v>392859588</v>
      </c>
      <c r="H12" s="16">
        <v>567297057</v>
      </c>
      <c r="I12" s="16">
        <v>318033700</v>
      </c>
      <c r="J12" s="16">
        <v>703769948</v>
      </c>
      <c r="K12" s="16">
        <v>836427700</v>
      </c>
      <c r="L12" s="16">
        <v>1076625000</v>
      </c>
      <c r="M12" s="16">
        <v>1164660528</v>
      </c>
      <c r="N12" s="16">
        <v>1436936043</v>
      </c>
      <c r="O12" s="16">
        <v>997836775</v>
      </c>
      <c r="P12" s="16">
        <v>678869108</v>
      </c>
      <c r="Q12" s="16">
        <v>773775186</v>
      </c>
      <c r="R12" s="16">
        <v>634740499</v>
      </c>
      <c r="S12" s="16">
        <v>331996489</v>
      </c>
    </row>
    <row r="13" spans="1:19" ht="10.9" customHeight="1" x14ac:dyDescent="0.2">
      <c r="F13" s="12" t="s">
        <v>20</v>
      </c>
      <c r="G13" s="16">
        <v>0</v>
      </c>
      <c r="H13" s="16">
        <v>116850000</v>
      </c>
      <c r="I13" s="16">
        <v>24490000</v>
      </c>
      <c r="J13" s="16">
        <v>41192000</v>
      </c>
      <c r="K13" s="16">
        <v>81813694</v>
      </c>
      <c r="L13" s="16">
        <v>330117286</v>
      </c>
      <c r="M13" s="16">
        <v>111534500</v>
      </c>
      <c r="N13" s="16">
        <v>87260000</v>
      </c>
      <c r="O13" s="16">
        <v>105817780</v>
      </c>
      <c r="P13" s="16">
        <v>87130000</v>
      </c>
      <c r="Q13" s="16">
        <v>49087500</v>
      </c>
      <c r="R13" s="16">
        <v>47700000</v>
      </c>
      <c r="S13" s="16">
        <v>33990000</v>
      </c>
    </row>
    <row r="14" spans="1:19" ht="10.9" customHeight="1" x14ac:dyDescent="0.2">
      <c r="B14" s="13" t="s">
        <v>21</v>
      </c>
      <c r="G14" s="17">
        <f t="shared" ref="G14:S14" si="1">SUM(G12:G13)</f>
        <v>392859588</v>
      </c>
      <c r="H14" s="17">
        <f t="shared" si="1"/>
        <v>684147057</v>
      </c>
      <c r="I14" s="17">
        <f t="shared" si="1"/>
        <v>342523700</v>
      </c>
      <c r="J14" s="17">
        <f t="shared" si="1"/>
        <v>744961948</v>
      </c>
      <c r="K14" s="17">
        <f t="shared" si="1"/>
        <v>918241394</v>
      </c>
      <c r="L14" s="17">
        <f t="shared" si="1"/>
        <v>1406742286</v>
      </c>
      <c r="M14" s="17">
        <f t="shared" si="1"/>
        <v>1276195028</v>
      </c>
      <c r="N14" s="17">
        <f t="shared" si="1"/>
        <v>1524196043</v>
      </c>
      <c r="O14" s="17">
        <f t="shared" si="1"/>
        <v>1103654555</v>
      </c>
      <c r="P14" s="17">
        <f t="shared" si="1"/>
        <v>765999108</v>
      </c>
      <c r="Q14" s="17">
        <f t="shared" si="1"/>
        <v>822862686</v>
      </c>
      <c r="R14" s="17">
        <f t="shared" si="1"/>
        <v>682440499</v>
      </c>
      <c r="S14" s="17">
        <f t="shared" si="1"/>
        <v>365986489</v>
      </c>
    </row>
    <row r="15" spans="1:19" ht="10.9" customHeight="1" x14ac:dyDescent="0.2">
      <c r="A15" s="11"/>
      <c r="B15" s="11" t="s">
        <v>22</v>
      </c>
      <c r="C15" s="11"/>
      <c r="D15" s="11"/>
      <c r="E15" s="11"/>
      <c r="F15" s="1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10.9" customHeight="1" x14ac:dyDescent="0.2">
      <c r="F16" s="12" t="s">
        <v>23</v>
      </c>
      <c r="G16" s="16">
        <v>104743600</v>
      </c>
      <c r="H16" s="16">
        <v>163176759</v>
      </c>
      <c r="I16" s="16">
        <v>95422100</v>
      </c>
      <c r="J16" s="16">
        <v>104327240</v>
      </c>
      <c r="K16" s="16">
        <v>153894020</v>
      </c>
      <c r="L16" s="16">
        <v>230057258</v>
      </c>
      <c r="M16" s="16">
        <v>231799416</v>
      </c>
      <c r="N16" s="16">
        <v>261099557</v>
      </c>
      <c r="O16" s="16">
        <v>233044290</v>
      </c>
      <c r="P16" s="16">
        <v>113041928</v>
      </c>
      <c r="Q16" s="16">
        <v>144337500</v>
      </c>
      <c r="R16" s="16">
        <v>151771820</v>
      </c>
      <c r="S16" s="16">
        <v>85356500</v>
      </c>
    </row>
    <row r="17" spans="1:19" ht="10.9" customHeight="1" x14ac:dyDescent="0.2">
      <c r="F17" s="12" t="s">
        <v>24</v>
      </c>
      <c r="G17" s="16">
        <v>0</v>
      </c>
      <c r="H17" s="16">
        <v>0</v>
      </c>
      <c r="I17" s="16">
        <v>0</v>
      </c>
      <c r="J17" s="16">
        <v>0</v>
      </c>
      <c r="K17" s="16">
        <v>3256195</v>
      </c>
      <c r="L17" s="16">
        <v>122400526</v>
      </c>
      <c r="M17" s="16">
        <v>1500000</v>
      </c>
      <c r="N17" s="16">
        <v>0</v>
      </c>
      <c r="O17" s="16">
        <v>9289253</v>
      </c>
      <c r="P17" s="16">
        <v>55080000</v>
      </c>
      <c r="Q17" s="16">
        <v>0</v>
      </c>
      <c r="R17" s="16">
        <v>0</v>
      </c>
      <c r="S17" s="16">
        <v>0</v>
      </c>
    </row>
    <row r="18" spans="1:19" ht="10.9" customHeight="1" x14ac:dyDescent="0.2">
      <c r="B18" s="13" t="s">
        <v>25</v>
      </c>
      <c r="G18" s="17">
        <f t="shared" ref="G18:S18" si="2">SUM(G16:G17)</f>
        <v>104743600</v>
      </c>
      <c r="H18" s="17">
        <f t="shared" si="2"/>
        <v>163176759</v>
      </c>
      <c r="I18" s="17">
        <f t="shared" si="2"/>
        <v>95422100</v>
      </c>
      <c r="J18" s="17">
        <f t="shared" si="2"/>
        <v>104327240</v>
      </c>
      <c r="K18" s="17">
        <f t="shared" si="2"/>
        <v>157150215</v>
      </c>
      <c r="L18" s="17">
        <f t="shared" si="2"/>
        <v>352457784</v>
      </c>
      <c r="M18" s="17">
        <f t="shared" si="2"/>
        <v>233299416</v>
      </c>
      <c r="N18" s="17">
        <f t="shared" si="2"/>
        <v>261099557</v>
      </c>
      <c r="O18" s="17">
        <f t="shared" si="2"/>
        <v>242333543</v>
      </c>
      <c r="P18" s="17">
        <f t="shared" si="2"/>
        <v>168121928</v>
      </c>
      <c r="Q18" s="17">
        <f t="shared" si="2"/>
        <v>144337500</v>
      </c>
      <c r="R18" s="17">
        <f t="shared" si="2"/>
        <v>151771820</v>
      </c>
      <c r="S18" s="17">
        <f t="shared" si="2"/>
        <v>85356500</v>
      </c>
    </row>
    <row r="19" spans="1:19" ht="10.9" customHeight="1" x14ac:dyDescent="0.2">
      <c r="A19" s="11"/>
      <c r="B19" s="11" t="s">
        <v>26</v>
      </c>
      <c r="C19" s="11"/>
      <c r="D19" s="11"/>
      <c r="E19" s="11"/>
      <c r="F19" s="11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10.9" customHeight="1" x14ac:dyDescent="0.2">
      <c r="F20" s="12" t="s">
        <v>27</v>
      </c>
      <c r="G20" s="16">
        <v>30374300</v>
      </c>
      <c r="H20" s="16">
        <v>110172669</v>
      </c>
      <c r="I20" s="16">
        <v>22831445</v>
      </c>
      <c r="J20" s="16">
        <v>71502401</v>
      </c>
      <c r="K20" s="16">
        <v>82195144</v>
      </c>
      <c r="L20" s="16">
        <v>159228714</v>
      </c>
      <c r="M20" s="16">
        <v>145170250</v>
      </c>
      <c r="N20" s="16">
        <v>176283600</v>
      </c>
      <c r="O20" s="16">
        <v>233803909</v>
      </c>
      <c r="P20" s="16">
        <v>104085500</v>
      </c>
      <c r="Q20" s="16">
        <v>99619481</v>
      </c>
      <c r="R20" s="16">
        <v>96309872</v>
      </c>
      <c r="S20" s="16">
        <v>58030820</v>
      </c>
    </row>
    <row r="21" spans="1:19" ht="10.9" customHeight="1" x14ac:dyDescent="0.2">
      <c r="B21" s="13" t="s">
        <v>28</v>
      </c>
      <c r="G21" s="17">
        <f t="shared" ref="G21:S21" si="3">G20</f>
        <v>30374300</v>
      </c>
      <c r="H21" s="17">
        <f t="shared" si="3"/>
        <v>110172669</v>
      </c>
      <c r="I21" s="17">
        <f t="shared" si="3"/>
        <v>22831445</v>
      </c>
      <c r="J21" s="17">
        <f t="shared" si="3"/>
        <v>71502401</v>
      </c>
      <c r="K21" s="17">
        <f t="shared" si="3"/>
        <v>82195144</v>
      </c>
      <c r="L21" s="17">
        <f t="shared" si="3"/>
        <v>159228714</v>
      </c>
      <c r="M21" s="17">
        <f t="shared" si="3"/>
        <v>145170250</v>
      </c>
      <c r="N21" s="17">
        <f t="shared" si="3"/>
        <v>176283600</v>
      </c>
      <c r="O21" s="17">
        <f t="shared" si="3"/>
        <v>233803909</v>
      </c>
      <c r="P21" s="17">
        <f t="shared" si="3"/>
        <v>104085500</v>
      </c>
      <c r="Q21" s="17">
        <f t="shared" si="3"/>
        <v>99619481</v>
      </c>
      <c r="R21" s="17">
        <f t="shared" si="3"/>
        <v>96309872</v>
      </c>
      <c r="S21" s="17">
        <f t="shared" si="3"/>
        <v>58030820</v>
      </c>
    </row>
    <row r="22" spans="1:19" ht="10.9" customHeight="1" x14ac:dyDescent="0.2">
      <c r="A22" s="11"/>
      <c r="B22" s="11" t="s">
        <v>29</v>
      </c>
      <c r="C22" s="11"/>
      <c r="D22" s="11"/>
      <c r="E22" s="11"/>
      <c r="F22" s="1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10.9" customHeight="1" x14ac:dyDescent="0.2">
      <c r="F23" s="12" t="s">
        <v>30</v>
      </c>
      <c r="G23" s="16">
        <v>6555000</v>
      </c>
      <c r="H23" s="16">
        <v>9918000</v>
      </c>
      <c r="I23" s="16">
        <v>7105000</v>
      </c>
      <c r="J23" s="16">
        <v>7984200</v>
      </c>
      <c r="K23" s="16">
        <v>6664000</v>
      </c>
      <c r="L23" s="16">
        <v>17710900</v>
      </c>
      <c r="M23" s="16">
        <v>16454400</v>
      </c>
      <c r="N23" s="16">
        <v>21600000</v>
      </c>
      <c r="O23" s="16">
        <v>23500800</v>
      </c>
      <c r="P23" s="16">
        <v>10712200</v>
      </c>
      <c r="Q23" s="16">
        <v>12434000</v>
      </c>
      <c r="R23" s="16">
        <v>4491700</v>
      </c>
      <c r="S23" s="16">
        <v>4907600</v>
      </c>
    </row>
    <row r="24" spans="1:19" ht="10.9" customHeight="1" x14ac:dyDescent="0.2">
      <c r="B24" s="13" t="s">
        <v>31</v>
      </c>
      <c r="G24" s="17">
        <f t="shared" ref="G24:S24" si="4">G23</f>
        <v>6555000</v>
      </c>
      <c r="H24" s="17">
        <f t="shared" si="4"/>
        <v>9918000</v>
      </c>
      <c r="I24" s="17">
        <f t="shared" si="4"/>
        <v>7105000</v>
      </c>
      <c r="J24" s="17">
        <f t="shared" si="4"/>
        <v>7984200</v>
      </c>
      <c r="K24" s="17">
        <f t="shared" si="4"/>
        <v>6664000</v>
      </c>
      <c r="L24" s="17">
        <f t="shared" si="4"/>
        <v>17710900</v>
      </c>
      <c r="M24" s="17">
        <f t="shared" si="4"/>
        <v>16454400</v>
      </c>
      <c r="N24" s="17">
        <f t="shared" si="4"/>
        <v>21600000</v>
      </c>
      <c r="O24" s="17">
        <f t="shared" si="4"/>
        <v>23500800</v>
      </c>
      <c r="P24" s="17">
        <f t="shared" si="4"/>
        <v>10712200</v>
      </c>
      <c r="Q24" s="17">
        <f t="shared" si="4"/>
        <v>12434000</v>
      </c>
      <c r="R24" s="17">
        <f t="shared" si="4"/>
        <v>4491700</v>
      </c>
      <c r="S24" s="17">
        <f t="shared" si="4"/>
        <v>4907600</v>
      </c>
    </row>
    <row r="25" spans="1:19" ht="10.9" customHeight="1" x14ac:dyDescent="0.2">
      <c r="A25" s="11"/>
      <c r="B25" s="11" t="s">
        <v>32</v>
      </c>
      <c r="C25" s="11"/>
      <c r="D25" s="11"/>
      <c r="E25" s="11"/>
      <c r="F25" s="1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ht="10.9" customHeight="1" x14ac:dyDescent="0.2">
      <c r="F26" s="12" t="s">
        <v>33</v>
      </c>
      <c r="G26" s="16">
        <v>40411000</v>
      </c>
      <c r="H26" s="16">
        <v>57246000</v>
      </c>
      <c r="I26" s="16">
        <v>53116500</v>
      </c>
      <c r="J26" s="16">
        <v>56483814</v>
      </c>
      <c r="K26" s="16">
        <v>80627498</v>
      </c>
      <c r="L26" s="16">
        <v>100992800</v>
      </c>
      <c r="M26" s="16">
        <v>129272520</v>
      </c>
      <c r="N26" s="16">
        <v>139573000</v>
      </c>
      <c r="O26" s="16">
        <v>147731399</v>
      </c>
      <c r="P26" s="16">
        <v>56470000</v>
      </c>
      <c r="Q26" s="16">
        <v>42855000</v>
      </c>
      <c r="R26" s="16">
        <v>53339222</v>
      </c>
      <c r="S26" s="16">
        <v>39241500</v>
      </c>
    </row>
    <row r="27" spans="1:19" ht="10.9" customHeight="1" x14ac:dyDescent="0.2">
      <c r="B27" s="13" t="s">
        <v>34</v>
      </c>
      <c r="G27" s="17">
        <f t="shared" ref="G27:S27" si="5">G26</f>
        <v>40411000</v>
      </c>
      <c r="H27" s="17">
        <f t="shared" si="5"/>
        <v>57246000</v>
      </c>
      <c r="I27" s="17">
        <f t="shared" si="5"/>
        <v>53116500</v>
      </c>
      <c r="J27" s="17">
        <f t="shared" si="5"/>
        <v>56483814</v>
      </c>
      <c r="K27" s="17">
        <f t="shared" si="5"/>
        <v>80627498</v>
      </c>
      <c r="L27" s="17">
        <f t="shared" si="5"/>
        <v>100992800</v>
      </c>
      <c r="M27" s="17">
        <f t="shared" si="5"/>
        <v>129272520</v>
      </c>
      <c r="N27" s="17">
        <f t="shared" si="5"/>
        <v>139573000</v>
      </c>
      <c r="O27" s="17">
        <f t="shared" si="5"/>
        <v>147731399</v>
      </c>
      <c r="P27" s="17">
        <f t="shared" si="5"/>
        <v>56470000</v>
      </c>
      <c r="Q27" s="17">
        <f t="shared" si="5"/>
        <v>42855000</v>
      </c>
      <c r="R27" s="17">
        <f t="shared" si="5"/>
        <v>53339222</v>
      </c>
      <c r="S27" s="17">
        <f t="shared" si="5"/>
        <v>39241500</v>
      </c>
    </row>
    <row r="28" spans="1:19" ht="10.9" customHeight="1" x14ac:dyDescent="0.2">
      <c r="A28" s="11"/>
      <c r="B28" s="11" t="s">
        <v>35</v>
      </c>
      <c r="C28" s="11"/>
      <c r="D28" s="11"/>
      <c r="E28" s="11"/>
      <c r="F28" s="1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10.9" customHeight="1" x14ac:dyDescent="0.2">
      <c r="F29" s="12" t="s">
        <v>36</v>
      </c>
      <c r="G29" s="16">
        <v>4228182</v>
      </c>
      <c r="H29" s="16">
        <v>750000</v>
      </c>
      <c r="I29" s="16">
        <v>2822775</v>
      </c>
      <c r="J29" s="16">
        <v>460995</v>
      </c>
      <c r="K29" s="16">
        <v>9815861</v>
      </c>
      <c r="L29" s="16">
        <v>22687237</v>
      </c>
      <c r="M29" s="16">
        <v>5117400</v>
      </c>
      <c r="N29" s="16">
        <v>34001497</v>
      </c>
      <c r="O29" s="16">
        <v>23555790</v>
      </c>
      <c r="P29" s="16">
        <v>6675200</v>
      </c>
      <c r="Q29" s="16">
        <v>7150000</v>
      </c>
      <c r="R29" s="16">
        <v>6163164</v>
      </c>
      <c r="S29" s="16">
        <v>8314820</v>
      </c>
    </row>
    <row r="30" spans="1:19" ht="10.9" customHeight="1" x14ac:dyDescent="0.2">
      <c r="F30" s="12" t="s">
        <v>37</v>
      </c>
      <c r="G30" s="16">
        <v>750000</v>
      </c>
      <c r="H30" s="16">
        <v>0</v>
      </c>
      <c r="I30" s="16">
        <v>900000</v>
      </c>
      <c r="J30" s="16">
        <v>2150000</v>
      </c>
      <c r="K30" s="16">
        <v>247934</v>
      </c>
      <c r="L30" s="16">
        <v>3500000</v>
      </c>
      <c r="M30" s="16">
        <v>123967</v>
      </c>
      <c r="N30" s="16">
        <v>2800000</v>
      </c>
      <c r="O30" s="16">
        <v>6450412</v>
      </c>
      <c r="P30" s="16">
        <v>827000</v>
      </c>
      <c r="Q30" s="16">
        <v>398000</v>
      </c>
      <c r="R30" s="16">
        <v>21479250</v>
      </c>
      <c r="S30" s="16">
        <v>14602000</v>
      </c>
    </row>
    <row r="31" spans="1:19" ht="10.9" customHeight="1" x14ac:dyDescent="0.2">
      <c r="F31" s="12" t="s">
        <v>38</v>
      </c>
      <c r="G31" s="16">
        <v>77000</v>
      </c>
      <c r="H31" s="16">
        <v>757872</v>
      </c>
      <c r="I31" s="16">
        <v>230720</v>
      </c>
      <c r="J31" s="16">
        <v>1671610</v>
      </c>
      <c r="K31" s="16">
        <v>5769920</v>
      </c>
      <c r="L31" s="16">
        <v>1131200</v>
      </c>
      <c r="M31" s="16">
        <v>1338400</v>
      </c>
      <c r="N31" s="16">
        <v>3114530</v>
      </c>
      <c r="O31" s="16">
        <v>2570600</v>
      </c>
      <c r="P31" s="16">
        <v>1965600</v>
      </c>
      <c r="Q31" s="16">
        <v>1495200</v>
      </c>
      <c r="R31" s="16">
        <v>393120</v>
      </c>
      <c r="S31" s="16">
        <v>0</v>
      </c>
    </row>
    <row r="32" spans="1:19" ht="10.9" customHeight="1" x14ac:dyDescent="0.2">
      <c r="F32" s="12" t="s">
        <v>39</v>
      </c>
      <c r="G32" s="16">
        <v>865374073.39999998</v>
      </c>
      <c r="H32" s="16">
        <v>865374073.39999998</v>
      </c>
      <c r="I32" s="16">
        <v>865374073.39999998</v>
      </c>
      <c r="J32" s="16">
        <v>761566667</v>
      </c>
      <c r="K32" s="16">
        <v>761566667</v>
      </c>
      <c r="L32" s="16">
        <v>761566667</v>
      </c>
      <c r="M32" s="16">
        <v>761566667</v>
      </c>
      <c r="N32" s="16">
        <v>761566667</v>
      </c>
      <c r="O32" s="16">
        <v>761566667</v>
      </c>
      <c r="P32" s="16">
        <v>761566667</v>
      </c>
      <c r="Q32" s="16">
        <v>761566667</v>
      </c>
      <c r="R32" s="16">
        <v>761566667</v>
      </c>
      <c r="S32" s="16">
        <v>761566667</v>
      </c>
    </row>
    <row r="33" spans="1:19" ht="10.9" customHeight="1" x14ac:dyDescent="0.2">
      <c r="F33" s="12" t="s">
        <v>40</v>
      </c>
      <c r="G33" s="16">
        <v>0</v>
      </c>
      <c r="H33" s="16">
        <v>0</v>
      </c>
      <c r="I33" s="16">
        <v>0</v>
      </c>
      <c r="J33" s="16">
        <v>264762604</v>
      </c>
      <c r="K33" s="16">
        <v>264762604</v>
      </c>
      <c r="L33" s="16">
        <v>264762604</v>
      </c>
      <c r="M33" s="16">
        <v>264762604</v>
      </c>
      <c r="N33" s="16">
        <v>264762604</v>
      </c>
      <c r="O33" s="16">
        <v>264762604</v>
      </c>
      <c r="P33" s="16">
        <v>264762604</v>
      </c>
      <c r="Q33" s="16">
        <v>264762604</v>
      </c>
      <c r="R33" s="16">
        <v>264762604</v>
      </c>
      <c r="S33" s="16">
        <v>264762604</v>
      </c>
    </row>
    <row r="34" spans="1:19" ht="10.9" customHeight="1" x14ac:dyDescent="0.2">
      <c r="B34" s="13" t="s">
        <v>41</v>
      </c>
      <c r="G34" s="17">
        <f t="shared" ref="G34:S34" si="6">SUM(G29:G33)</f>
        <v>870429255.39999998</v>
      </c>
      <c r="H34" s="17">
        <f t="shared" si="6"/>
        <v>866881945.39999998</v>
      </c>
      <c r="I34" s="17">
        <f t="shared" si="6"/>
        <v>869327568.39999998</v>
      </c>
      <c r="J34" s="17">
        <f t="shared" si="6"/>
        <v>1030611876</v>
      </c>
      <c r="K34" s="17">
        <f t="shared" si="6"/>
        <v>1042162986</v>
      </c>
      <c r="L34" s="17">
        <f t="shared" si="6"/>
        <v>1053647708</v>
      </c>
      <c r="M34" s="17">
        <f t="shared" si="6"/>
        <v>1032909038</v>
      </c>
      <c r="N34" s="17">
        <f t="shared" si="6"/>
        <v>1066245298</v>
      </c>
      <c r="O34" s="17">
        <f t="shared" si="6"/>
        <v>1058906073</v>
      </c>
      <c r="P34" s="17">
        <f t="shared" si="6"/>
        <v>1035797071</v>
      </c>
      <c r="Q34" s="17">
        <f t="shared" si="6"/>
        <v>1035372471</v>
      </c>
      <c r="R34" s="17">
        <f t="shared" si="6"/>
        <v>1054364805</v>
      </c>
      <c r="S34" s="17">
        <f t="shared" si="6"/>
        <v>1049246091</v>
      </c>
    </row>
    <row r="35" spans="1:19" ht="10.9" customHeight="1" x14ac:dyDescent="0.2">
      <c r="A35" s="13" t="s">
        <v>42</v>
      </c>
      <c r="G35" s="17">
        <f t="shared" ref="G35:S35" si="7">(0 + ((((((G10 + G14) + G18) + G21) + G24) + G27) + G34))</f>
        <v>2333832162.4000001</v>
      </c>
      <c r="H35" s="17">
        <f t="shared" si="7"/>
        <v>3108712811.4000001</v>
      </c>
      <c r="I35" s="17">
        <f t="shared" si="7"/>
        <v>2216064543.4000001</v>
      </c>
      <c r="J35" s="17">
        <f t="shared" si="7"/>
        <v>2863076851</v>
      </c>
      <c r="K35" s="17">
        <f t="shared" si="7"/>
        <v>2945669240</v>
      </c>
      <c r="L35" s="17">
        <f t="shared" si="7"/>
        <v>4651665730</v>
      </c>
      <c r="M35" s="17">
        <f t="shared" si="7"/>
        <v>3993426500</v>
      </c>
      <c r="N35" s="17">
        <f t="shared" si="7"/>
        <v>5813555748</v>
      </c>
      <c r="O35" s="17">
        <f t="shared" si="7"/>
        <v>4491805395</v>
      </c>
      <c r="P35" s="17">
        <f t="shared" si="7"/>
        <v>3031976231</v>
      </c>
      <c r="Q35" s="17">
        <f t="shared" si="7"/>
        <v>2938024461</v>
      </c>
      <c r="R35" s="17">
        <f t="shared" si="7"/>
        <v>2641243255</v>
      </c>
      <c r="S35" s="17">
        <f t="shared" si="7"/>
        <v>1998354406</v>
      </c>
    </row>
    <row r="36" spans="1:19" ht="13.35" customHeight="1" x14ac:dyDescent="0.25"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s="9" customFormat="1" ht="12.2" customHeight="1" x14ac:dyDescent="0.2">
      <c r="A37" s="6" t="s">
        <v>43</v>
      </c>
      <c r="B37" s="6"/>
      <c r="C37" s="6"/>
      <c r="D37" s="6"/>
      <c r="E37" s="6"/>
      <c r="F37" s="6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0.9" customHeight="1" x14ac:dyDescent="0.2">
      <c r="A38" s="11"/>
      <c r="B38" s="11" t="s">
        <v>44</v>
      </c>
      <c r="C38" s="11"/>
      <c r="D38" s="11"/>
      <c r="E38" s="11"/>
      <c r="F38" s="11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10.9" customHeight="1" x14ac:dyDescent="0.2">
      <c r="F39" s="12" t="s">
        <v>45</v>
      </c>
      <c r="G39" s="16">
        <v>149090086.28999999</v>
      </c>
      <c r="H39" s="16">
        <v>235997948.16</v>
      </c>
      <c r="I39" s="16">
        <v>158543265.59999999</v>
      </c>
      <c r="J39" s="16">
        <v>242075531.28999999</v>
      </c>
      <c r="K39" s="16">
        <v>302232573</v>
      </c>
      <c r="L39" s="16">
        <v>396139623.44</v>
      </c>
      <c r="M39" s="16">
        <v>367478998.36000001</v>
      </c>
      <c r="N39" s="16">
        <v>475902251.94</v>
      </c>
      <c r="O39" s="16">
        <v>367747663.94</v>
      </c>
      <c r="P39" s="16">
        <v>226815505.81999999</v>
      </c>
      <c r="Q39" s="16">
        <v>288264643.70999998</v>
      </c>
      <c r="R39" s="16">
        <v>198507374.69999999</v>
      </c>
      <c r="S39" s="16">
        <v>94495562.700000003</v>
      </c>
    </row>
    <row r="40" spans="1:19" ht="10.9" customHeight="1" x14ac:dyDescent="0.2">
      <c r="F40" s="12" t="s">
        <v>46</v>
      </c>
      <c r="G40" s="16">
        <v>0</v>
      </c>
      <c r="H40" s="16">
        <v>42350000</v>
      </c>
      <c r="I40" s="16">
        <v>0</v>
      </c>
      <c r="J40" s="16">
        <v>0</v>
      </c>
      <c r="K40" s="16">
        <v>0</v>
      </c>
      <c r="L40" s="16">
        <v>8104150</v>
      </c>
      <c r="M40" s="16">
        <v>750000</v>
      </c>
      <c r="N40" s="16">
        <v>0</v>
      </c>
      <c r="O40" s="16">
        <v>707200</v>
      </c>
      <c r="P40" s="16">
        <v>1900260</v>
      </c>
      <c r="Q40" s="16">
        <v>7580000</v>
      </c>
      <c r="R40" s="16">
        <v>748200</v>
      </c>
      <c r="S40" s="16">
        <v>0</v>
      </c>
    </row>
    <row r="41" spans="1:19" ht="10.9" customHeight="1" x14ac:dyDescent="0.2">
      <c r="B41" s="13" t="s">
        <v>47</v>
      </c>
      <c r="G41" s="17">
        <f t="shared" ref="G41:S41" si="8">SUM(G39:G40)</f>
        <v>149090086.28999999</v>
      </c>
      <c r="H41" s="17">
        <f t="shared" si="8"/>
        <v>278347948.15999997</v>
      </c>
      <c r="I41" s="17">
        <f t="shared" si="8"/>
        <v>158543265.59999999</v>
      </c>
      <c r="J41" s="17">
        <f t="shared" si="8"/>
        <v>242075531.28999999</v>
      </c>
      <c r="K41" s="17">
        <f t="shared" si="8"/>
        <v>302232573</v>
      </c>
      <c r="L41" s="17">
        <f t="shared" si="8"/>
        <v>404243773.44</v>
      </c>
      <c r="M41" s="17">
        <f t="shared" si="8"/>
        <v>368228998.36000001</v>
      </c>
      <c r="N41" s="17">
        <f t="shared" si="8"/>
        <v>475902251.94</v>
      </c>
      <c r="O41" s="17">
        <f t="shared" si="8"/>
        <v>368454863.94</v>
      </c>
      <c r="P41" s="17">
        <f t="shared" si="8"/>
        <v>228715765.81999999</v>
      </c>
      <c r="Q41" s="17">
        <f t="shared" si="8"/>
        <v>295844643.70999998</v>
      </c>
      <c r="R41" s="17">
        <f t="shared" si="8"/>
        <v>199255574.69999999</v>
      </c>
      <c r="S41" s="17">
        <f t="shared" si="8"/>
        <v>94495562.700000003</v>
      </c>
    </row>
    <row r="42" spans="1:19" ht="10.9" customHeight="1" x14ac:dyDescent="0.2">
      <c r="A42" s="11"/>
      <c r="B42" s="11" t="s">
        <v>48</v>
      </c>
      <c r="C42" s="11"/>
      <c r="D42" s="11"/>
      <c r="E42" s="11"/>
      <c r="F42" s="11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ht="10.9" customHeight="1" x14ac:dyDescent="0.2">
      <c r="F43" s="12" t="s">
        <v>49</v>
      </c>
      <c r="G43" s="16">
        <v>27176942.91</v>
      </c>
      <c r="H43" s="16">
        <v>40265654.439999998</v>
      </c>
      <c r="I43" s="16">
        <v>28637761.02</v>
      </c>
      <c r="J43" s="16">
        <v>31863292.199999999</v>
      </c>
      <c r="K43" s="16">
        <v>41151475.479999997</v>
      </c>
      <c r="L43" s="16">
        <v>77888215.439999998</v>
      </c>
      <c r="M43" s="16">
        <v>56489302.939999998</v>
      </c>
      <c r="N43" s="16">
        <v>78941731.620000005</v>
      </c>
      <c r="O43" s="16">
        <v>69861939.700000003</v>
      </c>
      <c r="P43" s="16">
        <v>43374093</v>
      </c>
      <c r="Q43" s="16">
        <v>37856951.159999996</v>
      </c>
      <c r="R43" s="16">
        <v>43005192.890000001</v>
      </c>
      <c r="S43" s="16">
        <v>18300527.890000001</v>
      </c>
    </row>
    <row r="44" spans="1:19" ht="10.9" customHeight="1" x14ac:dyDescent="0.2">
      <c r="F44" s="12" t="s">
        <v>50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4432000</v>
      </c>
      <c r="P44" s="16">
        <v>0</v>
      </c>
      <c r="Q44" s="16">
        <v>0</v>
      </c>
      <c r="R44" s="16">
        <v>0</v>
      </c>
      <c r="S44" s="16">
        <v>0</v>
      </c>
    </row>
    <row r="45" spans="1:19" ht="10.9" customHeight="1" x14ac:dyDescent="0.2">
      <c r="B45" s="13" t="s">
        <v>51</v>
      </c>
      <c r="G45" s="17">
        <f t="shared" ref="G45:S45" si="9">SUM(G43:G44)</f>
        <v>27176942.91</v>
      </c>
      <c r="H45" s="17">
        <f t="shared" si="9"/>
        <v>40265654.439999998</v>
      </c>
      <c r="I45" s="17">
        <f t="shared" si="9"/>
        <v>28637761.02</v>
      </c>
      <c r="J45" s="17">
        <f t="shared" si="9"/>
        <v>31863292.199999999</v>
      </c>
      <c r="K45" s="17">
        <f t="shared" si="9"/>
        <v>41151475.479999997</v>
      </c>
      <c r="L45" s="17">
        <f t="shared" si="9"/>
        <v>77888215.439999998</v>
      </c>
      <c r="M45" s="17">
        <f t="shared" si="9"/>
        <v>56489302.939999998</v>
      </c>
      <c r="N45" s="17">
        <f t="shared" si="9"/>
        <v>78941731.620000005</v>
      </c>
      <c r="O45" s="17">
        <f t="shared" si="9"/>
        <v>74293939.700000003</v>
      </c>
      <c r="P45" s="17">
        <f t="shared" si="9"/>
        <v>43374093</v>
      </c>
      <c r="Q45" s="17">
        <f t="shared" si="9"/>
        <v>37856951.159999996</v>
      </c>
      <c r="R45" s="17">
        <f t="shared" si="9"/>
        <v>43005192.890000001</v>
      </c>
      <c r="S45" s="17">
        <f t="shared" si="9"/>
        <v>18300527.890000001</v>
      </c>
    </row>
    <row r="46" spans="1:19" ht="10.9" customHeight="1" x14ac:dyDescent="0.2">
      <c r="A46" s="11"/>
      <c r="B46" s="11" t="s">
        <v>52</v>
      </c>
      <c r="C46" s="11"/>
      <c r="D46" s="11"/>
      <c r="E46" s="11"/>
      <c r="F46" s="11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ht="10.9" customHeight="1" x14ac:dyDescent="0.2">
      <c r="A47" s="11"/>
      <c r="B47" s="11"/>
      <c r="C47" s="11" t="s">
        <v>53</v>
      </c>
      <c r="D47" s="11"/>
      <c r="E47" s="11"/>
      <c r="F47" s="11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ht="10.9" customHeight="1" x14ac:dyDescent="0.2">
      <c r="F48" s="12" t="s">
        <v>54</v>
      </c>
      <c r="G48" s="16">
        <v>1193384.18</v>
      </c>
      <c r="H48" s="16">
        <v>1639993.71</v>
      </c>
      <c r="I48" s="16">
        <v>2278666.29</v>
      </c>
      <c r="J48" s="16">
        <v>1856216</v>
      </c>
      <c r="K48" s="16">
        <v>2007080.22</v>
      </c>
      <c r="L48" s="16">
        <v>2055523.96</v>
      </c>
      <c r="M48" s="16">
        <v>3036578.92</v>
      </c>
      <c r="N48" s="16">
        <v>4862016.7</v>
      </c>
      <c r="O48" s="16">
        <v>4989176.2</v>
      </c>
      <c r="P48" s="16">
        <v>3766350.09</v>
      </c>
      <c r="Q48" s="16">
        <v>2430034.1800000002</v>
      </c>
      <c r="R48" s="16">
        <v>2918332.72</v>
      </c>
      <c r="S48" s="16">
        <v>1934151.8</v>
      </c>
    </row>
    <row r="49" spans="1:19" ht="10.9" customHeight="1" x14ac:dyDescent="0.2">
      <c r="C49" s="13" t="s">
        <v>55</v>
      </c>
      <c r="G49" s="17">
        <f t="shared" ref="G49:S49" si="10">G48</f>
        <v>1193384.18</v>
      </c>
      <c r="H49" s="17">
        <f t="shared" si="10"/>
        <v>1639993.71</v>
      </c>
      <c r="I49" s="17">
        <f t="shared" si="10"/>
        <v>2278666.29</v>
      </c>
      <c r="J49" s="17">
        <f t="shared" si="10"/>
        <v>1856216</v>
      </c>
      <c r="K49" s="17">
        <f t="shared" si="10"/>
        <v>2007080.22</v>
      </c>
      <c r="L49" s="17">
        <f t="shared" si="10"/>
        <v>2055523.96</v>
      </c>
      <c r="M49" s="17">
        <f t="shared" si="10"/>
        <v>3036578.92</v>
      </c>
      <c r="N49" s="17">
        <f t="shared" si="10"/>
        <v>4862016.7</v>
      </c>
      <c r="O49" s="17">
        <f t="shared" si="10"/>
        <v>4989176.2</v>
      </c>
      <c r="P49" s="17">
        <f t="shared" si="10"/>
        <v>3766350.09</v>
      </c>
      <c r="Q49" s="17">
        <f t="shared" si="10"/>
        <v>2430034.1800000002</v>
      </c>
      <c r="R49" s="17">
        <f t="shared" si="10"/>
        <v>2918332.72</v>
      </c>
      <c r="S49" s="17">
        <f t="shared" si="10"/>
        <v>1934151.8</v>
      </c>
    </row>
    <row r="50" spans="1:19" ht="10.9" customHeight="1" x14ac:dyDescent="0.2">
      <c r="A50" s="11"/>
      <c r="B50" s="11"/>
      <c r="C50" s="11" t="s">
        <v>56</v>
      </c>
      <c r="D50" s="11"/>
      <c r="E50" s="11"/>
      <c r="F50" s="11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ht="10.9" customHeight="1" x14ac:dyDescent="0.2">
      <c r="F51" s="12" t="s">
        <v>57</v>
      </c>
      <c r="G51" s="16">
        <v>1140000</v>
      </c>
      <c r="H51" s="16">
        <v>1145000</v>
      </c>
      <c r="I51" s="16">
        <v>1110000</v>
      </c>
      <c r="J51" s="16">
        <v>2530000</v>
      </c>
      <c r="K51" s="16">
        <v>2385000</v>
      </c>
      <c r="L51" s="16">
        <v>3720000</v>
      </c>
      <c r="M51" s="16">
        <v>4320000</v>
      </c>
      <c r="N51" s="16">
        <v>3350000</v>
      </c>
      <c r="O51" s="16">
        <v>12330240</v>
      </c>
      <c r="P51" s="16">
        <v>10528660</v>
      </c>
      <c r="Q51" s="16">
        <v>3730200</v>
      </c>
      <c r="R51" s="16">
        <v>1347510</v>
      </c>
      <c r="S51" s="16">
        <v>1472280</v>
      </c>
    </row>
    <row r="52" spans="1:19" ht="10.9" customHeight="1" x14ac:dyDescent="0.2">
      <c r="C52" s="13" t="s">
        <v>58</v>
      </c>
      <c r="G52" s="17">
        <f t="shared" ref="G52:S52" si="11">G51</f>
        <v>1140000</v>
      </c>
      <c r="H52" s="17">
        <f t="shared" si="11"/>
        <v>1145000</v>
      </c>
      <c r="I52" s="17">
        <f t="shared" si="11"/>
        <v>1110000</v>
      </c>
      <c r="J52" s="17">
        <f t="shared" si="11"/>
        <v>2530000</v>
      </c>
      <c r="K52" s="17">
        <f t="shared" si="11"/>
        <v>2385000</v>
      </c>
      <c r="L52" s="17">
        <f t="shared" si="11"/>
        <v>3720000</v>
      </c>
      <c r="M52" s="17">
        <f t="shared" si="11"/>
        <v>4320000</v>
      </c>
      <c r="N52" s="17">
        <f t="shared" si="11"/>
        <v>3350000</v>
      </c>
      <c r="O52" s="17">
        <f t="shared" si="11"/>
        <v>12330240</v>
      </c>
      <c r="P52" s="17">
        <f t="shared" si="11"/>
        <v>10528660</v>
      </c>
      <c r="Q52" s="17">
        <f t="shared" si="11"/>
        <v>3730200</v>
      </c>
      <c r="R52" s="17">
        <f t="shared" si="11"/>
        <v>1347510</v>
      </c>
      <c r="S52" s="17">
        <f t="shared" si="11"/>
        <v>1472280</v>
      </c>
    </row>
    <row r="53" spans="1:19" ht="10.9" customHeight="1" x14ac:dyDescent="0.2">
      <c r="A53" s="11"/>
      <c r="B53" s="11"/>
      <c r="C53" s="11" t="s">
        <v>59</v>
      </c>
      <c r="D53" s="11"/>
      <c r="E53" s="11"/>
      <c r="F53" s="11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ht="10.9" customHeight="1" x14ac:dyDescent="0.2">
      <c r="F54" s="12" t="s">
        <v>60</v>
      </c>
      <c r="G54" s="16">
        <v>20970000</v>
      </c>
      <c r="H54" s="16">
        <v>99125000</v>
      </c>
      <c r="I54" s="16">
        <v>16000000</v>
      </c>
      <c r="J54" s="16">
        <v>36093885</v>
      </c>
      <c r="K54" s="16">
        <v>73506115</v>
      </c>
      <c r="L54" s="16">
        <v>125765000</v>
      </c>
      <c r="M54" s="16">
        <v>101740000</v>
      </c>
      <c r="N54" s="16">
        <v>126582500</v>
      </c>
      <c r="O54" s="16">
        <v>164270000</v>
      </c>
      <c r="P54" s="16">
        <v>74095000</v>
      </c>
      <c r="Q54" s="16">
        <v>38070000</v>
      </c>
      <c r="R54" s="16">
        <v>66490000</v>
      </c>
      <c r="S54" s="16">
        <v>39525000</v>
      </c>
    </row>
    <row r="55" spans="1:19" ht="10.9" customHeight="1" x14ac:dyDescent="0.2">
      <c r="F55" s="12" t="s">
        <v>61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3500000</v>
      </c>
      <c r="M55" s="16">
        <v>0</v>
      </c>
      <c r="N55" s="16">
        <v>0</v>
      </c>
      <c r="O55" s="16">
        <v>3500000</v>
      </c>
      <c r="P55" s="16">
        <v>200000</v>
      </c>
      <c r="Q55" s="16">
        <v>6150000</v>
      </c>
      <c r="R55" s="16">
        <v>5000000</v>
      </c>
      <c r="S55" s="16">
        <v>19425000</v>
      </c>
    </row>
    <row r="56" spans="1:19" ht="10.9" customHeight="1" x14ac:dyDescent="0.2">
      <c r="F56" s="12" t="s">
        <v>62</v>
      </c>
      <c r="G56" s="16">
        <v>0</v>
      </c>
      <c r="H56" s="16">
        <v>480000</v>
      </c>
      <c r="I56" s="16">
        <v>420000</v>
      </c>
      <c r="J56" s="16">
        <v>0</v>
      </c>
      <c r="K56" s="16">
        <v>6375000</v>
      </c>
      <c r="L56" s="16">
        <v>0</v>
      </c>
      <c r="M56" s="16">
        <v>0</v>
      </c>
      <c r="N56" s="16">
        <v>0</v>
      </c>
      <c r="O56" s="16">
        <v>600000</v>
      </c>
      <c r="P56" s="16">
        <v>0</v>
      </c>
      <c r="Q56" s="16">
        <v>360000</v>
      </c>
      <c r="R56" s="16">
        <v>1200000</v>
      </c>
      <c r="S56" s="16">
        <v>0</v>
      </c>
    </row>
    <row r="57" spans="1:19" ht="10.9" customHeight="1" x14ac:dyDescent="0.2">
      <c r="C57" s="13" t="s">
        <v>63</v>
      </c>
      <c r="G57" s="17">
        <f t="shared" ref="G57:S57" si="12">SUM(G54:G56)</f>
        <v>20970000</v>
      </c>
      <c r="H57" s="17">
        <f t="shared" si="12"/>
        <v>99605000</v>
      </c>
      <c r="I57" s="17">
        <f t="shared" si="12"/>
        <v>16420000</v>
      </c>
      <c r="J57" s="17">
        <f t="shared" si="12"/>
        <v>36093885</v>
      </c>
      <c r="K57" s="17">
        <f t="shared" si="12"/>
        <v>79881115</v>
      </c>
      <c r="L57" s="17">
        <f t="shared" si="12"/>
        <v>129265000</v>
      </c>
      <c r="M57" s="17">
        <f t="shared" si="12"/>
        <v>101740000</v>
      </c>
      <c r="N57" s="17">
        <f t="shared" si="12"/>
        <v>126582500</v>
      </c>
      <c r="O57" s="17">
        <f t="shared" si="12"/>
        <v>168370000</v>
      </c>
      <c r="P57" s="17">
        <f t="shared" si="12"/>
        <v>74295000</v>
      </c>
      <c r="Q57" s="17">
        <f t="shared" si="12"/>
        <v>44580000</v>
      </c>
      <c r="R57" s="17">
        <f t="shared" si="12"/>
        <v>72690000</v>
      </c>
      <c r="S57" s="17">
        <f t="shared" si="12"/>
        <v>58950000</v>
      </c>
    </row>
    <row r="58" spans="1:19" ht="10.9" customHeight="1" x14ac:dyDescent="0.2">
      <c r="B58" s="13" t="s">
        <v>64</v>
      </c>
      <c r="G58" s="17">
        <f t="shared" ref="G58:S58" si="13">(0 + ((G49 + G52) + G57))</f>
        <v>23303384.18</v>
      </c>
      <c r="H58" s="17">
        <f t="shared" si="13"/>
        <v>102389993.70999999</v>
      </c>
      <c r="I58" s="17">
        <f t="shared" si="13"/>
        <v>19808666.289999999</v>
      </c>
      <c r="J58" s="17">
        <f t="shared" si="13"/>
        <v>40480101</v>
      </c>
      <c r="K58" s="17">
        <f t="shared" si="13"/>
        <v>84273195.219999999</v>
      </c>
      <c r="L58" s="17">
        <f t="shared" si="13"/>
        <v>135040523.96000001</v>
      </c>
      <c r="M58" s="17">
        <f t="shared" si="13"/>
        <v>109096578.92</v>
      </c>
      <c r="N58" s="17">
        <f t="shared" si="13"/>
        <v>134794516.69999999</v>
      </c>
      <c r="O58" s="17">
        <f t="shared" si="13"/>
        <v>185689416.19999999</v>
      </c>
      <c r="P58" s="17">
        <f t="shared" si="13"/>
        <v>88590010.090000004</v>
      </c>
      <c r="Q58" s="17">
        <f t="shared" si="13"/>
        <v>50740234.18</v>
      </c>
      <c r="R58" s="17">
        <f t="shared" si="13"/>
        <v>76955842.719999999</v>
      </c>
      <c r="S58" s="17">
        <f t="shared" si="13"/>
        <v>62356431.799999997</v>
      </c>
    </row>
    <row r="59" spans="1:19" ht="10.9" customHeight="1" x14ac:dyDescent="0.2">
      <c r="A59" s="13" t="s">
        <v>65</v>
      </c>
      <c r="G59" s="17">
        <f t="shared" ref="G59:S59" si="14">(0 + ((G41 + G45) + G58))</f>
        <v>199570413.38</v>
      </c>
      <c r="H59" s="17">
        <f t="shared" si="14"/>
        <v>421003596.30999994</v>
      </c>
      <c r="I59" s="17">
        <f t="shared" si="14"/>
        <v>206989692.91</v>
      </c>
      <c r="J59" s="17">
        <f t="shared" si="14"/>
        <v>314418924.49000001</v>
      </c>
      <c r="K59" s="17">
        <f t="shared" si="14"/>
        <v>427657243.70000005</v>
      </c>
      <c r="L59" s="17">
        <f t="shared" si="14"/>
        <v>617172512.84000003</v>
      </c>
      <c r="M59" s="17">
        <f t="shared" si="14"/>
        <v>533814880.22000003</v>
      </c>
      <c r="N59" s="17">
        <f t="shared" si="14"/>
        <v>689638500.25999999</v>
      </c>
      <c r="O59" s="17">
        <f t="shared" si="14"/>
        <v>628438219.83999991</v>
      </c>
      <c r="P59" s="17">
        <f t="shared" si="14"/>
        <v>360679868.90999997</v>
      </c>
      <c r="Q59" s="17">
        <f t="shared" si="14"/>
        <v>384441829.05000001</v>
      </c>
      <c r="R59" s="17">
        <f t="shared" si="14"/>
        <v>319216610.30999994</v>
      </c>
      <c r="S59" s="17">
        <f t="shared" si="14"/>
        <v>175152522.38999999</v>
      </c>
    </row>
    <row r="60" spans="1:19" ht="13.35" customHeight="1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s="9" customFormat="1" ht="12.2" customHeight="1" x14ac:dyDescent="0.2">
      <c r="A61" s="6" t="s">
        <v>66</v>
      </c>
      <c r="B61" s="6"/>
      <c r="C61" s="6"/>
      <c r="D61" s="6"/>
      <c r="E61" s="6"/>
      <c r="F61" s="6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ht="10.9" customHeight="1" x14ac:dyDescent="0.2">
      <c r="A62" s="11"/>
      <c r="B62" s="11" t="s">
        <v>67</v>
      </c>
      <c r="C62" s="11"/>
      <c r="D62" s="11"/>
      <c r="E62" s="11"/>
      <c r="F62" s="11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ht="10.9" customHeight="1" x14ac:dyDescent="0.2">
      <c r="A63" s="11"/>
      <c r="B63" s="11"/>
      <c r="C63" s="11" t="s">
        <v>68</v>
      </c>
      <c r="D63" s="11"/>
      <c r="E63" s="11"/>
      <c r="F63" s="11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ht="10.9" customHeight="1" x14ac:dyDescent="0.2">
      <c r="F64" s="12" t="s">
        <v>69</v>
      </c>
      <c r="G64" s="16">
        <v>8799000</v>
      </c>
      <c r="H64" s="16">
        <v>11364000</v>
      </c>
      <c r="I64" s="16">
        <v>9967000</v>
      </c>
      <c r="J64" s="16">
        <v>10896522</v>
      </c>
      <c r="K64" s="16">
        <v>11226690.630000001</v>
      </c>
      <c r="L64" s="16">
        <v>20476000</v>
      </c>
      <c r="M64" s="16">
        <v>22857732.600000001</v>
      </c>
      <c r="N64" s="16">
        <v>28330554</v>
      </c>
      <c r="O64" s="16">
        <v>28417877.579999998</v>
      </c>
      <c r="P64" s="16">
        <v>15066000</v>
      </c>
      <c r="Q64" s="16">
        <v>13249200</v>
      </c>
      <c r="R64" s="16">
        <v>19277400</v>
      </c>
      <c r="S64" s="16">
        <v>15355000</v>
      </c>
    </row>
    <row r="65" spans="1:19" ht="10.9" customHeight="1" x14ac:dyDescent="0.2">
      <c r="C65" s="13" t="s">
        <v>70</v>
      </c>
      <c r="G65" s="17">
        <f t="shared" ref="G65:S65" si="15">G64</f>
        <v>8799000</v>
      </c>
      <c r="H65" s="17">
        <f t="shared" si="15"/>
        <v>11364000</v>
      </c>
      <c r="I65" s="17">
        <f t="shared" si="15"/>
        <v>9967000</v>
      </c>
      <c r="J65" s="17">
        <f t="shared" si="15"/>
        <v>10896522</v>
      </c>
      <c r="K65" s="17">
        <f t="shared" si="15"/>
        <v>11226690.630000001</v>
      </c>
      <c r="L65" s="17">
        <f t="shared" si="15"/>
        <v>20476000</v>
      </c>
      <c r="M65" s="17">
        <f t="shared" si="15"/>
        <v>22857732.600000001</v>
      </c>
      <c r="N65" s="17">
        <f t="shared" si="15"/>
        <v>28330554</v>
      </c>
      <c r="O65" s="17">
        <f t="shared" si="15"/>
        <v>28417877.579999998</v>
      </c>
      <c r="P65" s="17">
        <f t="shared" si="15"/>
        <v>15066000</v>
      </c>
      <c r="Q65" s="17">
        <f t="shared" si="15"/>
        <v>13249200</v>
      </c>
      <c r="R65" s="17">
        <f t="shared" si="15"/>
        <v>19277400</v>
      </c>
      <c r="S65" s="17">
        <f t="shared" si="15"/>
        <v>15355000</v>
      </c>
    </row>
    <row r="66" spans="1:19" ht="10.9" customHeight="1" x14ac:dyDescent="0.2">
      <c r="A66" s="11"/>
      <c r="B66" s="11"/>
      <c r="C66" s="11" t="s">
        <v>71</v>
      </c>
      <c r="D66" s="11"/>
      <c r="E66" s="11"/>
      <c r="F66" s="11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ht="10.9" customHeight="1" x14ac:dyDescent="0.2">
      <c r="F67" s="12" t="s">
        <v>72</v>
      </c>
      <c r="G67" s="16">
        <v>0</v>
      </c>
      <c r="H67" s="16">
        <v>90000</v>
      </c>
      <c r="I67" s="16">
        <v>282000</v>
      </c>
      <c r="J67" s="16">
        <v>0</v>
      </c>
      <c r="K67" s="16">
        <v>0</v>
      </c>
      <c r="L67" s="16">
        <v>90000</v>
      </c>
      <c r="M67" s="16">
        <v>384000</v>
      </c>
      <c r="N67" s="16">
        <v>90000</v>
      </c>
      <c r="O67" s="16">
        <v>192000</v>
      </c>
      <c r="P67" s="16">
        <v>450000</v>
      </c>
      <c r="Q67" s="16">
        <v>270000</v>
      </c>
      <c r="R67" s="16">
        <v>270000</v>
      </c>
      <c r="S67" s="16">
        <v>0</v>
      </c>
    </row>
    <row r="68" spans="1:19" ht="10.9" customHeight="1" x14ac:dyDescent="0.2">
      <c r="F68" s="12" t="s">
        <v>73</v>
      </c>
      <c r="G68" s="16">
        <v>178754561</v>
      </c>
      <c r="H68" s="16">
        <v>164568869</v>
      </c>
      <c r="I68" s="16">
        <v>138687441</v>
      </c>
      <c r="J68" s="16">
        <v>169988341</v>
      </c>
      <c r="K68" s="16">
        <v>189537217</v>
      </c>
      <c r="L68" s="16">
        <v>219807224</v>
      </c>
      <c r="M68" s="16">
        <v>184563007</v>
      </c>
      <c r="N68" s="16">
        <v>180523501</v>
      </c>
      <c r="O68" s="16">
        <v>161455661</v>
      </c>
      <c r="P68" s="16">
        <v>143999583</v>
      </c>
      <c r="Q68" s="16">
        <v>156254746</v>
      </c>
      <c r="R68" s="16">
        <v>153577256</v>
      </c>
      <c r="S68" s="16">
        <v>130075034</v>
      </c>
    </row>
    <row r="69" spans="1:19" ht="10.9" customHeight="1" x14ac:dyDescent="0.2">
      <c r="C69" s="13" t="s">
        <v>74</v>
      </c>
      <c r="G69" s="17">
        <f t="shared" ref="G69:S69" si="16">SUM(G67:G68)</f>
        <v>178754561</v>
      </c>
      <c r="H69" s="17">
        <f t="shared" si="16"/>
        <v>164658869</v>
      </c>
      <c r="I69" s="17">
        <f t="shared" si="16"/>
        <v>138969441</v>
      </c>
      <c r="J69" s="17">
        <f t="shared" si="16"/>
        <v>169988341</v>
      </c>
      <c r="K69" s="17">
        <f t="shared" si="16"/>
        <v>189537217</v>
      </c>
      <c r="L69" s="17">
        <f t="shared" si="16"/>
        <v>219897224</v>
      </c>
      <c r="M69" s="17">
        <f t="shared" si="16"/>
        <v>184947007</v>
      </c>
      <c r="N69" s="17">
        <f t="shared" si="16"/>
        <v>180613501</v>
      </c>
      <c r="O69" s="17">
        <f t="shared" si="16"/>
        <v>161647661</v>
      </c>
      <c r="P69" s="17">
        <f t="shared" si="16"/>
        <v>144449583</v>
      </c>
      <c r="Q69" s="17">
        <f t="shared" si="16"/>
        <v>156524746</v>
      </c>
      <c r="R69" s="17">
        <f t="shared" si="16"/>
        <v>153847256</v>
      </c>
      <c r="S69" s="17">
        <f t="shared" si="16"/>
        <v>130075034</v>
      </c>
    </row>
    <row r="70" spans="1:19" ht="10.9" customHeight="1" x14ac:dyDescent="0.2">
      <c r="F70" s="12" t="s">
        <v>75</v>
      </c>
      <c r="G70" s="16">
        <v>0</v>
      </c>
      <c r="H70" s="16">
        <v>0</v>
      </c>
      <c r="I70" s="16">
        <v>0</v>
      </c>
      <c r="J70" s="16">
        <v>0</v>
      </c>
      <c r="K70" s="16">
        <v>41990000</v>
      </c>
      <c r="L70" s="16">
        <v>186295000</v>
      </c>
      <c r="M70" s="16">
        <v>138130000</v>
      </c>
      <c r="N70" s="16">
        <v>351025000</v>
      </c>
      <c r="O70" s="16">
        <v>217455000</v>
      </c>
      <c r="P70" s="16">
        <v>57285000</v>
      </c>
      <c r="Q70" s="16">
        <v>33060000</v>
      </c>
      <c r="R70" s="16">
        <v>7980000</v>
      </c>
      <c r="S70" s="16">
        <v>27930000</v>
      </c>
    </row>
    <row r="71" spans="1:19" ht="10.9" customHeight="1" x14ac:dyDescent="0.2">
      <c r="B71" s="13" t="s">
        <v>76</v>
      </c>
      <c r="G71" s="17">
        <f t="shared" ref="G71:S71" si="17">(G70 + (G65 + G69))</f>
        <v>187553561</v>
      </c>
      <c r="H71" s="17">
        <f t="shared" si="17"/>
        <v>176022869</v>
      </c>
      <c r="I71" s="17">
        <f t="shared" si="17"/>
        <v>148936441</v>
      </c>
      <c r="J71" s="17">
        <f t="shared" si="17"/>
        <v>180884863</v>
      </c>
      <c r="K71" s="17">
        <f t="shared" si="17"/>
        <v>242753907.63</v>
      </c>
      <c r="L71" s="17">
        <f t="shared" si="17"/>
        <v>426668224</v>
      </c>
      <c r="M71" s="17">
        <f t="shared" si="17"/>
        <v>345934739.60000002</v>
      </c>
      <c r="N71" s="17">
        <f t="shared" si="17"/>
        <v>559969055</v>
      </c>
      <c r="O71" s="17">
        <f t="shared" si="17"/>
        <v>407520538.57999998</v>
      </c>
      <c r="P71" s="17">
        <f t="shared" si="17"/>
        <v>216800583</v>
      </c>
      <c r="Q71" s="17">
        <f t="shared" si="17"/>
        <v>202833946</v>
      </c>
      <c r="R71" s="17">
        <f t="shared" si="17"/>
        <v>181104656</v>
      </c>
      <c r="S71" s="17">
        <f t="shared" si="17"/>
        <v>173360034</v>
      </c>
    </row>
    <row r="72" spans="1:19" ht="10.9" customHeight="1" x14ac:dyDescent="0.2">
      <c r="A72" s="11"/>
      <c r="B72" s="11" t="s">
        <v>66</v>
      </c>
      <c r="C72" s="11"/>
      <c r="D72" s="11"/>
      <c r="E72" s="11"/>
      <c r="F72" s="11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ht="10.9" customHeight="1" x14ac:dyDescent="0.2">
      <c r="A73" s="11"/>
      <c r="B73" s="11"/>
      <c r="C73" s="11" t="s">
        <v>77</v>
      </c>
      <c r="D73" s="11"/>
      <c r="E73" s="11"/>
      <c r="F73" s="11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ht="10.9" customHeight="1" x14ac:dyDescent="0.2">
      <c r="A74" s="11"/>
      <c r="B74" s="11"/>
      <c r="C74" s="11"/>
      <c r="D74" s="11" t="s">
        <v>78</v>
      </c>
      <c r="E74" s="11"/>
      <c r="F74" s="11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ht="10.9" customHeight="1" x14ac:dyDescent="0.2">
      <c r="A75" s="11"/>
      <c r="B75" s="11"/>
      <c r="C75" s="11"/>
      <c r="D75" s="11"/>
      <c r="E75" s="11" t="s">
        <v>79</v>
      </c>
      <c r="F75" s="11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ht="10.9" customHeight="1" x14ac:dyDescent="0.2">
      <c r="A76" s="11"/>
      <c r="B76" s="11"/>
      <c r="C76" s="11"/>
      <c r="D76" s="11"/>
      <c r="E76" s="11"/>
      <c r="F76" s="11" t="s">
        <v>80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ht="10.9" customHeight="1" x14ac:dyDescent="0.2">
      <c r="F77" s="12" t="s">
        <v>81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3800000</v>
      </c>
      <c r="O77" s="16">
        <v>7133000</v>
      </c>
      <c r="P77" s="16">
        <v>839690</v>
      </c>
      <c r="Q77" s="16">
        <v>0</v>
      </c>
      <c r="R77" s="16">
        <v>0</v>
      </c>
      <c r="S77" s="16">
        <v>0</v>
      </c>
    </row>
    <row r="78" spans="1:19" ht="10.9" customHeight="1" x14ac:dyDescent="0.2">
      <c r="F78" s="12" t="s">
        <v>82</v>
      </c>
      <c r="G78" s="16">
        <v>6124630</v>
      </c>
      <c r="H78" s="16">
        <v>7760117</v>
      </c>
      <c r="I78" s="16">
        <v>3596619</v>
      </c>
      <c r="J78" s="16">
        <v>3588575</v>
      </c>
      <c r="K78" s="16">
        <v>6742080</v>
      </c>
      <c r="L78" s="16">
        <v>17087255</v>
      </c>
      <c r="M78" s="16">
        <v>14706497</v>
      </c>
      <c r="N78" s="16">
        <v>22174282.68</v>
      </c>
      <c r="O78" s="16">
        <v>17851375</v>
      </c>
      <c r="P78" s="16">
        <v>7534038</v>
      </c>
      <c r="Q78" s="16">
        <v>795971</v>
      </c>
      <c r="R78" s="16">
        <v>2560078</v>
      </c>
      <c r="S78" s="16">
        <v>11365000</v>
      </c>
    </row>
    <row r="79" spans="1:19" ht="10.9" customHeight="1" x14ac:dyDescent="0.2">
      <c r="F79" s="12" t="s">
        <v>83</v>
      </c>
      <c r="G79" s="16">
        <v>29984116</v>
      </c>
      <c r="H79" s="16">
        <v>23633207</v>
      </c>
      <c r="I79" s="16">
        <v>18437099</v>
      </c>
      <c r="J79" s="16">
        <v>16331416</v>
      </c>
      <c r="K79" s="16">
        <v>20894932</v>
      </c>
      <c r="L79" s="16">
        <v>29729948</v>
      </c>
      <c r="M79" s="16">
        <v>28329435.670000002</v>
      </c>
      <c r="N79" s="16">
        <v>42480267</v>
      </c>
      <c r="O79" s="16">
        <v>32987709</v>
      </c>
      <c r="P79" s="16">
        <v>8924488.0099999998</v>
      </c>
      <c r="Q79" s="16">
        <v>18997896</v>
      </c>
      <c r="R79" s="16">
        <v>24789898</v>
      </c>
      <c r="S79" s="16">
        <v>8598977</v>
      </c>
    </row>
    <row r="80" spans="1:19" ht="10.9" customHeight="1" x14ac:dyDescent="0.2">
      <c r="F80" s="12" t="s">
        <v>84</v>
      </c>
      <c r="G80" s="16">
        <v>51177454</v>
      </c>
      <c r="H80" s="16">
        <v>57213534</v>
      </c>
      <c r="I80" s="16">
        <v>46213739</v>
      </c>
      <c r="J80" s="16">
        <v>60776971.369999997</v>
      </c>
      <c r="K80" s="16">
        <v>45679517</v>
      </c>
      <c r="L80" s="16">
        <v>98956587</v>
      </c>
      <c r="M80" s="16">
        <v>94560662</v>
      </c>
      <c r="N80" s="16">
        <v>125648277</v>
      </c>
      <c r="O80" s="16">
        <v>72897055.75</v>
      </c>
      <c r="P80" s="16">
        <v>66749935</v>
      </c>
      <c r="Q80" s="16">
        <v>57383307</v>
      </c>
      <c r="R80" s="16">
        <v>51840802</v>
      </c>
      <c r="S80" s="16">
        <v>32807772</v>
      </c>
    </row>
    <row r="81" spans="1:19" ht="10.9" customHeight="1" x14ac:dyDescent="0.2">
      <c r="F81" s="12" t="s">
        <v>85</v>
      </c>
      <c r="G81" s="16">
        <v>920000</v>
      </c>
      <c r="H81" s="16">
        <v>392000</v>
      </c>
      <c r="I81" s="16">
        <v>108000</v>
      </c>
      <c r="J81" s="16">
        <v>50000</v>
      </c>
      <c r="K81" s="16">
        <v>5157500</v>
      </c>
      <c r="L81" s="16">
        <v>18700000</v>
      </c>
      <c r="M81" s="16">
        <v>0</v>
      </c>
      <c r="N81" s="16">
        <v>7943750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</row>
    <row r="82" spans="1:19" ht="10.9" customHeight="1" x14ac:dyDescent="0.2">
      <c r="F82" s="12" t="s">
        <v>86</v>
      </c>
      <c r="G82" s="16">
        <v>9881545.5</v>
      </c>
      <c r="H82" s="16">
        <v>8413988</v>
      </c>
      <c r="I82" s="16">
        <v>7828051.5</v>
      </c>
      <c r="J82" s="16">
        <v>8313780</v>
      </c>
      <c r="K82" s="16">
        <v>12207511</v>
      </c>
      <c r="L82" s="16">
        <v>19562108</v>
      </c>
      <c r="M82" s="16">
        <v>14920610</v>
      </c>
      <c r="N82" s="16">
        <v>20330550</v>
      </c>
      <c r="O82" s="16">
        <v>14731000</v>
      </c>
      <c r="P82" s="16">
        <v>12740150</v>
      </c>
      <c r="Q82" s="16">
        <v>10709500</v>
      </c>
      <c r="R82" s="16">
        <v>13641479.5</v>
      </c>
      <c r="S82" s="16">
        <v>5807500</v>
      </c>
    </row>
    <row r="83" spans="1:19" ht="10.9" customHeight="1" x14ac:dyDescent="0.2">
      <c r="F83" s="12" t="s">
        <v>87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619405</v>
      </c>
      <c r="S83" s="16">
        <v>0</v>
      </c>
    </row>
    <row r="84" spans="1:19" ht="10.9" customHeight="1" x14ac:dyDescent="0.2">
      <c r="F84" s="12" t="s">
        <v>88</v>
      </c>
      <c r="G84" s="16">
        <v>114000</v>
      </c>
      <c r="H84" s="16">
        <v>217625</v>
      </c>
      <c r="I84" s="16">
        <v>168000</v>
      </c>
      <c r="J84" s="16">
        <v>198125</v>
      </c>
      <c r="K84" s="16">
        <v>450624</v>
      </c>
      <c r="L84" s="16">
        <v>152750</v>
      </c>
      <c r="M84" s="16">
        <v>364126</v>
      </c>
      <c r="N84" s="16">
        <v>925814</v>
      </c>
      <c r="O84" s="16">
        <v>333063</v>
      </c>
      <c r="P84" s="16">
        <v>581550</v>
      </c>
      <c r="Q84" s="16">
        <v>238925</v>
      </c>
      <c r="R84" s="16">
        <v>163125</v>
      </c>
      <c r="S84" s="16">
        <v>58000</v>
      </c>
    </row>
    <row r="85" spans="1:19" ht="10.9" customHeight="1" x14ac:dyDescent="0.2">
      <c r="F85" s="12" t="s">
        <v>89</v>
      </c>
      <c r="G85" s="16">
        <v>503333.33</v>
      </c>
      <c r="H85" s="16">
        <v>2302500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182000</v>
      </c>
      <c r="P85" s="16">
        <v>0</v>
      </c>
      <c r="Q85" s="16">
        <v>4216500</v>
      </c>
      <c r="R85" s="16">
        <v>0</v>
      </c>
      <c r="S85" s="16">
        <v>0</v>
      </c>
    </row>
    <row r="86" spans="1:19" ht="10.9" customHeight="1" x14ac:dyDescent="0.2">
      <c r="F86" s="13" t="s">
        <v>90</v>
      </c>
      <c r="G86" s="17">
        <f t="shared" ref="G86:S86" si="18">SUM(G77:G85)</f>
        <v>98705078.829999998</v>
      </c>
      <c r="H86" s="17">
        <f t="shared" si="18"/>
        <v>99932971</v>
      </c>
      <c r="I86" s="17">
        <f t="shared" si="18"/>
        <v>76351508.5</v>
      </c>
      <c r="J86" s="17">
        <f t="shared" si="18"/>
        <v>89258867.370000005</v>
      </c>
      <c r="K86" s="17">
        <f t="shared" si="18"/>
        <v>91132164</v>
      </c>
      <c r="L86" s="17">
        <f t="shared" si="18"/>
        <v>184188648</v>
      </c>
      <c r="M86" s="17">
        <f t="shared" si="18"/>
        <v>152881330.67000002</v>
      </c>
      <c r="N86" s="17">
        <f t="shared" si="18"/>
        <v>223302940.68000001</v>
      </c>
      <c r="O86" s="17">
        <f t="shared" si="18"/>
        <v>146115202.75</v>
      </c>
      <c r="P86" s="17">
        <f t="shared" si="18"/>
        <v>97369851.00999999</v>
      </c>
      <c r="Q86" s="17">
        <f t="shared" si="18"/>
        <v>92342099</v>
      </c>
      <c r="R86" s="17">
        <f t="shared" si="18"/>
        <v>93614787.5</v>
      </c>
      <c r="S86" s="17">
        <f t="shared" si="18"/>
        <v>58637249</v>
      </c>
    </row>
    <row r="87" spans="1:19" ht="10.9" customHeight="1" x14ac:dyDescent="0.2">
      <c r="A87" s="11"/>
      <c r="B87" s="11"/>
      <c r="C87" s="11"/>
      <c r="D87" s="11"/>
      <c r="E87" s="11"/>
      <c r="F87" s="11" t="s">
        <v>91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1:19" ht="10.9" customHeight="1" x14ac:dyDescent="0.2">
      <c r="F88" s="12" t="s">
        <v>92</v>
      </c>
      <c r="G88" s="16">
        <v>316000</v>
      </c>
      <c r="H88" s="16">
        <v>305000</v>
      </c>
      <c r="I88" s="16">
        <v>300000</v>
      </c>
      <c r="J88" s="16">
        <v>50000</v>
      </c>
      <c r="K88" s="16">
        <v>370000</v>
      </c>
      <c r="L88" s="16">
        <v>240000</v>
      </c>
      <c r="M88" s="16">
        <v>200000</v>
      </c>
      <c r="N88" s="16">
        <v>250000</v>
      </c>
      <c r="O88" s="16">
        <v>596500</v>
      </c>
      <c r="P88" s="16">
        <v>320000</v>
      </c>
      <c r="Q88" s="16">
        <v>404000</v>
      </c>
      <c r="R88" s="16">
        <v>600000</v>
      </c>
      <c r="S88" s="16">
        <v>453000</v>
      </c>
    </row>
    <row r="89" spans="1:19" ht="10.9" customHeight="1" x14ac:dyDescent="0.2">
      <c r="F89" s="12" t="s">
        <v>93</v>
      </c>
      <c r="G89" s="16">
        <v>333750</v>
      </c>
      <c r="H89" s="16">
        <v>380000</v>
      </c>
      <c r="I89" s="16">
        <v>373000</v>
      </c>
      <c r="J89" s="16">
        <v>170000</v>
      </c>
      <c r="K89" s="16">
        <v>496750</v>
      </c>
      <c r="L89" s="16">
        <v>1839000</v>
      </c>
      <c r="M89" s="16">
        <v>838500</v>
      </c>
      <c r="N89" s="16">
        <v>344000</v>
      </c>
      <c r="O89" s="16">
        <v>1843500</v>
      </c>
      <c r="P89" s="16">
        <v>1892145</v>
      </c>
      <c r="Q89" s="16">
        <v>3309400</v>
      </c>
      <c r="R89" s="16">
        <v>1762000</v>
      </c>
      <c r="S89" s="16">
        <v>146000</v>
      </c>
    </row>
    <row r="90" spans="1:19" ht="10.9" customHeight="1" x14ac:dyDescent="0.2">
      <c r="F90" s="12" t="s">
        <v>94</v>
      </c>
      <c r="G90" s="16">
        <v>154124874</v>
      </c>
      <c r="H90" s="16">
        <v>135408643</v>
      </c>
      <c r="I90" s="16">
        <v>129591881</v>
      </c>
      <c r="J90" s="16">
        <v>105061587</v>
      </c>
      <c r="K90" s="16">
        <v>144447617.53999999</v>
      </c>
      <c r="L90" s="16">
        <v>221934428.03</v>
      </c>
      <c r="M90" s="16">
        <v>196714322.03</v>
      </c>
      <c r="N90" s="16">
        <v>212014086</v>
      </c>
      <c r="O90" s="16">
        <v>154532038</v>
      </c>
      <c r="P90" s="16">
        <v>117225494</v>
      </c>
      <c r="Q90" s="16">
        <v>44272577</v>
      </c>
      <c r="R90" s="16">
        <v>54040597</v>
      </c>
      <c r="S90" s="16">
        <v>27666558</v>
      </c>
    </row>
    <row r="91" spans="1:19" ht="10.9" customHeight="1" x14ac:dyDescent="0.2">
      <c r="F91" s="12" t="s">
        <v>95</v>
      </c>
      <c r="G91" s="16">
        <v>0</v>
      </c>
      <c r="H91" s="16">
        <v>0</v>
      </c>
      <c r="I91" s="16">
        <v>180940</v>
      </c>
      <c r="J91" s="16">
        <v>211235</v>
      </c>
      <c r="K91" s="16">
        <v>292230</v>
      </c>
      <c r="L91" s="16">
        <v>373500</v>
      </c>
      <c r="M91" s="16">
        <v>2285820</v>
      </c>
      <c r="N91" s="16">
        <v>132800</v>
      </c>
      <c r="O91" s="16">
        <v>1352352</v>
      </c>
      <c r="P91" s="16">
        <v>695955</v>
      </c>
      <c r="Q91" s="16">
        <v>274315</v>
      </c>
      <c r="R91" s="16">
        <v>509205</v>
      </c>
      <c r="S91" s="16">
        <v>164755</v>
      </c>
    </row>
    <row r="92" spans="1:19" ht="10.9" customHeight="1" x14ac:dyDescent="0.2">
      <c r="F92" s="12" t="s">
        <v>96</v>
      </c>
      <c r="G92" s="16">
        <v>34075869.5</v>
      </c>
      <c r="H92" s="16">
        <v>28459467.5</v>
      </c>
      <c r="I92" s="16">
        <v>35178538</v>
      </c>
      <c r="J92" s="16">
        <v>59289040.5</v>
      </c>
      <c r="K92" s="16">
        <v>36868995</v>
      </c>
      <c r="L92" s="16">
        <v>43867654.5</v>
      </c>
      <c r="M92" s="16">
        <v>9784586</v>
      </c>
      <c r="N92" s="16">
        <v>20425499</v>
      </c>
      <c r="O92" s="16">
        <v>58727112</v>
      </c>
      <c r="P92" s="16">
        <v>12146151.5</v>
      </c>
      <c r="Q92" s="16">
        <v>6307972.5</v>
      </c>
      <c r="R92" s="16">
        <v>29915256.5</v>
      </c>
      <c r="S92" s="16">
        <v>11135951</v>
      </c>
    </row>
    <row r="93" spans="1:19" ht="10.9" customHeight="1" x14ac:dyDescent="0.2">
      <c r="F93" s="12" t="s">
        <v>97</v>
      </c>
      <c r="G93" s="16">
        <v>150750</v>
      </c>
      <c r="H93" s="16">
        <v>378550</v>
      </c>
      <c r="I93" s="16">
        <v>212626</v>
      </c>
      <c r="J93" s="16">
        <v>323000</v>
      </c>
      <c r="K93" s="16">
        <v>798125</v>
      </c>
      <c r="L93" s="16">
        <v>347750</v>
      </c>
      <c r="M93" s="16">
        <v>289500</v>
      </c>
      <c r="N93" s="16">
        <v>486500</v>
      </c>
      <c r="O93" s="16">
        <v>536000</v>
      </c>
      <c r="P93" s="16">
        <v>370250</v>
      </c>
      <c r="Q93" s="16">
        <v>343875</v>
      </c>
      <c r="R93" s="16">
        <v>2116719</v>
      </c>
      <c r="S93" s="16">
        <v>292125</v>
      </c>
    </row>
    <row r="94" spans="1:19" ht="10.9" customHeight="1" x14ac:dyDescent="0.2">
      <c r="F94" s="12" t="s">
        <v>98</v>
      </c>
      <c r="G94" s="16">
        <v>21432500</v>
      </c>
      <c r="H94" s="16">
        <v>44970000</v>
      </c>
      <c r="I94" s="16">
        <v>24315250</v>
      </c>
      <c r="J94" s="16">
        <v>27419615</v>
      </c>
      <c r="K94" s="16">
        <v>31975885</v>
      </c>
      <c r="L94" s="16">
        <v>56089500</v>
      </c>
      <c r="M94" s="16">
        <v>62246500</v>
      </c>
      <c r="N94" s="16">
        <v>63715000</v>
      </c>
      <c r="O94" s="16">
        <v>42075750</v>
      </c>
      <c r="P94" s="16">
        <v>29756100</v>
      </c>
      <c r="Q94" s="16">
        <v>26867712</v>
      </c>
      <c r="R94" s="16">
        <v>38583750</v>
      </c>
      <c r="S94" s="16">
        <v>23322900</v>
      </c>
    </row>
    <row r="95" spans="1:19" ht="10.9" customHeight="1" x14ac:dyDescent="0.2">
      <c r="F95" s="12" t="s">
        <v>99</v>
      </c>
      <c r="G95" s="16">
        <v>1403935.56</v>
      </c>
      <c r="H95" s="16">
        <v>0</v>
      </c>
      <c r="I95" s="16">
        <v>0</v>
      </c>
      <c r="J95" s="16">
        <v>0</v>
      </c>
      <c r="K95" s="16">
        <v>886848</v>
      </c>
      <c r="L95" s="16">
        <v>716800</v>
      </c>
      <c r="M95" s="16">
        <v>1314749</v>
      </c>
      <c r="N95" s="16">
        <v>3987350</v>
      </c>
      <c r="O95" s="16">
        <v>3711014.28</v>
      </c>
      <c r="P95" s="16">
        <v>375780</v>
      </c>
      <c r="Q95" s="16">
        <v>0</v>
      </c>
      <c r="R95" s="16">
        <v>0</v>
      </c>
      <c r="S95" s="16">
        <v>0</v>
      </c>
    </row>
    <row r="96" spans="1:19" ht="10.9" customHeight="1" x14ac:dyDescent="0.2">
      <c r="F96" s="12" t="s">
        <v>100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1300000</v>
      </c>
      <c r="N96" s="16">
        <v>0</v>
      </c>
      <c r="O96" s="16">
        <v>546000</v>
      </c>
      <c r="P96" s="16">
        <v>0</v>
      </c>
      <c r="Q96" s="16">
        <v>3304500</v>
      </c>
      <c r="R96" s="16">
        <v>552000</v>
      </c>
      <c r="S96" s="16">
        <v>0</v>
      </c>
    </row>
    <row r="97" spans="1:19" ht="10.9" customHeight="1" x14ac:dyDescent="0.2">
      <c r="F97" s="12" t="s">
        <v>101</v>
      </c>
      <c r="G97" s="16">
        <v>0</v>
      </c>
      <c r="H97" s="16">
        <v>0</v>
      </c>
      <c r="I97" s="16">
        <v>0</v>
      </c>
      <c r="J97" s="16">
        <v>1575000</v>
      </c>
      <c r="K97" s="16">
        <v>1730000</v>
      </c>
      <c r="L97" s="16">
        <v>0</v>
      </c>
      <c r="M97" s="16">
        <v>0</v>
      </c>
      <c r="N97" s="16">
        <v>5265000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</row>
    <row r="98" spans="1:19" ht="10.9" customHeight="1" x14ac:dyDescent="0.2">
      <c r="F98" s="13" t="s">
        <v>102</v>
      </c>
      <c r="G98" s="17">
        <f t="shared" ref="G98:S98" si="19">SUM(G88:G97)</f>
        <v>211837679.06</v>
      </c>
      <c r="H98" s="17">
        <f t="shared" si="19"/>
        <v>209901660.5</v>
      </c>
      <c r="I98" s="17">
        <f t="shared" si="19"/>
        <v>190152235</v>
      </c>
      <c r="J98" s="17">
        <f t="shared" si="19"/>
        <v>194099477.5</v>
      </c>
      <c r="K98" s="17">
        <f t="shared" si="19"/>
        <v>217866450.53999999</v>
      </c>
      <c r="L98" s="17">
        <f t="shared" si="19"/>
        <v>325408632.52999997</v>
      </c>
      <c r="M98" s="17">
        <f t="shared" si="19"/>
        <v>274973977.02999997</v>
      </c>
      <c r="N98" s="17">
        <f t="shared" si="19"/>
        <v>306620235</v>
      </c>
      <c r="O98" s="17">
        <f t="shared" si="19"/>
        <v>263920266.28</v>
      </c>
      <c r="P98" s="17">
        <f t="shared" si="19"/>
        <v>162781875.5</v>
      </c>
      <c r="Q98" s="17">
        <f t="shared" si="19"/>
        <v>85084351.5</v>
      </c>
      <c r="R98" s="17">
        <f t="shared" si="19"/>
        <v>128079527.5</v>
      </c>
      <c r="S98" s="17">
        <f t="shared" si="19"/>
        <v>63181289</v>
      </c>
    </row>
    <row r="99" spans="1:19" ht="10.9" customHeight="1" x14ac:dyDescent="0.2">
      <c r="E99" s="13" t="s">
        <v>103</v>
      </c>
      <c r="G99" s="17">
        <f t="shared" ref="G99:S99" si="20">(0 + (G86 + G98))</f>
        <v>310542757.88999999</v>
      </c>
      <c r="H99" s="17">
        <f t="shared" si="20"/>
        <v>309834631.5</v>
      </c>
      <c r="I99" s="17">
        <f t="shared" si="20"/>
        <v>266503743.5</v>
      </c>
      <c r="J99" s="17">
        <f t="shared" si="20"/>
        <v>283358344.87</v>
      </c>
      <c r="K99" s="17">
        <f t="shared" si="20"/>
        <v>308998614.53999996</v>
      </c>
      <c r="L99" s="17">
        <f t="shared" si="20"/>
        <v>509597280.52999997</v>
      </c>
      <c r="M99" s="17">
        <f t="shared" si="20"/>
        <v>427855307.69999999</v>
      </c>
      <c r="N99" s="17">
        <f t="shared" si="20"/>
        <v>529923175.68000001</v>
      </c>
      <c r="O99" s="17">
        <f t="shared" si="20"/>
        <v>410035469.02999997</v>
      </c>
      <c r="P99" s="17">
        <f t="shared" si="20"/>
        <v>260151726.50999999</v>
      </c>
      <c r="Q99" s="17">
        <f t="shared" si="20"/>
        <v>177426450.5</v>
      </c>
      <c r="R99" s="17">
        <f t="shared" si="20"/>
        <v>221694315</v>
      </c>
      <c r="S99" s="17">
        <f t="shared" si="20"/>
        <v>121818538</v>
      </c>
    </row>
    <row r="100" spans="1:19" ht="10.9" customHeight="1" x14ac:dyDescent="0.2">
      <c r="A100" s="11"/>
      <c r="B100" s="11"/>
      <c r="C100" s="11"/>
      <c r="D100" s="11"/>
      <c r="E100" s="11" t="s">
        <v>104</v>
      </c>
      <c r="F100" s="11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ht="10.9" customHeight="1" x14ac:dyDescent="0.2">
      <c r="F101" s="12" t="s">
        <v>105</v>
      </c>
      <c r="G101" s="16">
        <v>0</v>
      </c>
      <c r="H101" s="16">
        <v>277200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</row>
    <row r="102" spans="1:19" ht="10.9" customHeight="1" x14ac:dyDescent="0.2">
      <c r="F102" s="12" t="s">
        <v>106</v>
      </c>
      <c r="G102" s="16">
        <v>3817500</v>
      </c>
      <c r="H102" s="16">
        <v>4586306</v>
      </c>
      <c r="I102" s="16">
        <v>4544250</v>
      </c>
      <c r="J102" s="16">
        <v>4813151</v>
      </c>
      <c r="K102" s="16">
        <v>5454000</v>
      </c>
      <c r="L102" s="16">
        <v>6872750</v>
      </c>
      <c r="M102" s="16">
        <v>5134500</v>
      </c>
      <c r="N102" s="16">
        <v>5598500</v>
      </c>
      <c r="O102" s="16">
        <v>4722500</v>
      </c>
      <c r="P102" s="16">
        <v>3808000</v>
      </c>
      <c r="Q102" s="16">
        <v>5252000</v>
      </c>
      <c r="R102" s="16">
        <v>3267500</v>
      </c>
      <c r="S102" s="16">
        <v>2759000</v>
      </c>
    </row>
    <row r="103" spans="1:19" ht="10.9" customHeight="1" x14ac:dyDescent="0.2">
      <c r="F103" s="12" t="s">
        <v>107</v>
      </c>
      <c r="G103" s="16">
        <v>0</v>
      </c>
      <c r="H103" s="16">
        <v>0</v>
      </c>
      <c r="I103" s="16">
        <v>612720</v>
      </c>
      <c r="J103" s="16">
        <v>541680</v>
      </c>
      <c r="K103" s="16">
        <v>0</v>
      </c>
      <c r="L103" s="16">
        <v>6047233.3300000001</v>
      </c>
      <c r="M103" s="16">
        <v>11905860</v>
      </c>
      <c r="N103" s="16">
        <v>2293950</v>
      </c>
      <c r="O103" s="16">
        <v>1512800</v>
      </c>
      <c r="P103" s="16">
        <v>5291500</v>
      </c>
      <c r="Q103" s="16">
        <v>0</v>
      </c>
      <c r="R103" s="16">
        <v>1267200</v>
      </c>
      <c r="S103" s="16">
        <v>0</v>
      </c>
    </row>
    <row r="104" spans="1:19" ht="10.9" customHeight="1" x14ac:dyDescent="0.2">
      <c r="F104" s="12" t="s">
        <v>108</v>
      </c>
      <c r="G104" s="16">
        <v>0</v>
      </c>
      <c r="H104" s="16">
        <v>0</v>
      </c>
      <c r="I104" s="16">
        <v>0</v>
      </c>
      <c r="J104" s="16">
        <v>240750</v>
      </c>
      <c r="K104" s="16">
        <v>345600</v>
      </c>
      <c r="L104" s="16">
        <v>670294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</row>
    <row r="105" spans="1:19" ht="10.9" customHeight="1" x14ac:dyDescent="0.2">
      <c r="F105" s="12" t="s">
        <v>109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12093490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1250000</v>
      </c>
      <c r="S105" s="16">
        <v>500000</v>
      </c>
    </row>
    <row r="106" spans="1:19" ht="10.9" customHeight="1" x14ac:dyDescent="0.2">
      <c r="F106" s="12" t="s">
        <v>110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139610</v>
      </c>
      <c r="S106" s="16">
        <v>603475</v>
      </c>
    </row>
    <row r="107" spans="1:19" ht="10.9" customHeight="1" x14ac:dyDescent="0.2">
      <c r="F107" s="12" t="s">
        <v>111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100000</v>
      </c>
      <c r="P107" s="16">
        <v>0</v>
      </c>
      <c r="Q107" s="16">
        <v>0</v>
      </c>
      <c r="R107" s="16">
        <v>0</v>
      </c>
      <c r="S107" s="16">
        <v>0</v>
      </c>
    </row>
    <row r="108" spans="1:19" ht="10.9" customHeight="1" x14ac:dyDescent="0.2">
      <c r="F108" s="12" t="s">
        <v>112</v>
      </c>
      <c r="G108" s="16">
        <v>10396000</v>
      </c>
      <c r="H108" s="16">
        <v>2250000</v>
      </c>
      <c r="I108" s="16">
        <v>3100000</v>
      </c>
      <c r="J108" s="16">
        <v>50000</v>
      </c>
      <c r="K108" s="16">
        <v>-1545000</v>
      </c>
      <c r="L108" s="16">
        <v>21800000</v>
      </c>
      <c r="M108" s="16">
        <v>0</v>
      </c>
      <c r="N108" s="16">
        <v>0</v>
      </c>
      <c r="O108" s="16">
        <v>0</v>
      </c>
      <c r="P108" s="16">
        <v>123000</v>
      </c>
      <c r="Q108" s="16">
        <v>19000</v>
      </c>
      <c r="R108" s="16">
        <v>0</v>
      </c>
      <c r="S108" s="16">
        <v>0</v>
      </c>
    </row>
    <row r="109" spans="1:19" ht="10.9" customHeight="1" x14ac:dyDescent="0.2">
      <c r="F109" s="12" t="s">
        <v>113</v>
      </c>
      <c r="G109" s="16">
        <v>6675900</v>
      </c>
      <c r="H109" s="16">
        <v>7680998</v>
      </c>
      <c r="I109" s="16">
        <v>3608200</v>
      </c>
      <c r="J109" s="16">
        <v>3059500</v>
      </c>
      <c r="K109" s="16">
        <v>5029750</v>
      </c>
      <c r="L109" s="16">
        <v>5556700</v>
      </c>
      <c r="M109" s="16">
        <v>7458300</v>
      </c>
      <c r="N109" s="16">
        <v>7556150</v>
      </c>
      <c r="O109" s="16">
        <v>5034500</v>
      </c>
      <c r="P109" s="16">
        <v>3637050</v>
      </c>
      <c r="Q109" s="16">
        <v>1781298</v>
      </c>
      <c r="R109" s="16">
        <v>2158000</v>
      </c>
      <c r="S109" s="16">
        <v>2197500</v>
      </c>
    </row>
    <row r="110" spans="1:19" ht="10.9" customHeight="1" x14ac:dyDescent="0.2">
      <c r="F110" s="12" t="s">
        <v>114</v>
      </c>
      <c r="G110" s="16">
        <v>0</v>
      </c>
      <c r="H110" s="16">
        <v>0</v>
      </c>
      <c r="I110" s="16">
        <v>0</v>
      </c>
      <c r="J110" s="16">
        <v>0</v>
      </c>
      <c r="K110" s="16">
        <v>86456</v>
      </c>
      <c r="L110" s="16">
        <v>634100</v>
      </c>
      <c r="M110" s="16">
        <v>0</v>
      </c>
      <c r="N110" s="16">
        <v>1710000</v>
      </c>
      <c r="O110" s="16">
        <v>3057900</v>
      </c>
      <c r="P110" s="16">
        <v>2002000</v>
      </c>
      <c r="Q110" s="16">
        <v>724000</v>
      </c>
      <c r="R110" s="16">
        <v>455000</v>
      </c>
      <c r="S110" s="16">
        <v>338400</v>
      </c>
    </row>
    <row r="111" spans="1:19" ht="10.9" customHeight="1" x14ac:dyDescent="0.2">
      <c r="F111" s="12" t="s">
        <v>115</v>
      </c>
      <c r="G111" s="16">
        <v>0</v>
      </c>
      <c r="H111" s="16">
        <v>6824635</v>
      </c>
      <c r="I111" s="16">
        <v>227752</v>
      </c>
      <c r="J111" s="16">
        <v>0</v>
      </c>
      <c r="K111" s="16">
        <v>1500000</v>
      </c>
      <c r="L111" s="16">
        <v>12778465</v>
      </c>
      <c r="M111" s="16">
        <v>20817060</v>
      </c>
      <c r="N111" s="16">
        <v>6284060</v>
      </c>
      <c r="O111" s="16">
        <v>4550000</v>
      </c>
      <c r="P111" s="16">
        <v>0</v>
      </c>
      <c r="Q111" s="16">
        <v>2000000</v>
      </c>
      <c r="R111" s="16">
        <v>0</v>
      </c>
      <c r="S111" s="16">
        <v>46480</v>
      </c>
    </row>
    <row r="112" spans="1:19" ht="10.9" customHeight="1" x14ac:dyDescent="0.2">
      <c r="F112" s="12" t="s">
        <v>116</v>
      </c>
      <c r="G112" s="16">
        <v>10295561</v>
      </c>
      <c r="H112" s="16">
        <v>10450179.67</v>
      </c>
      <c r="I112" s="16">
        <v>9744911</v>
      </c>
      <c r="J112" s="16">
        <v>10438874</v>
      </c>
      <c r="K112" s="16">
        <v>20537365</v>
      </c>
      <c r="L112" s="16">
        <v>27225714.34</v>
      </c>
      <c r="M112" s="16">
        <v>22237253</v>
      </c>
      <c r="N112" s="16">
        <v>23018580.66</v>
      </c>
      <c r="O112" s="16">
        <v>42573607</v>
      </c>
      <c r="P112" s="16">
        <v>83387749</v>
      </c>
      <c r="Q112" s="16">
        <v>9418504</v>
      </c>
      <c r="R112" s="16">
        <v>8658386</v>
      </c>
      <c r="S112" s="16">
        <v>6643839</v>
      </c>
    </row>
    <row r="113" spans="1:19" ht="10.9" customHeight="1" x14ac:dyDescent="0.2">
      <c r="F113" s="12" t="s">
        <v>117</v>
      </c>
      <c r="G113" s="16">
        <v>262000</v>
      </c>
      <c r="H113" s="16">
        <v>290000</v>
      </c>
      <c r="I113" s="16">
        <v>0</v>
      </c>
      <c r="J113" s="16">
        <v>650000</v>
      </c>
      <c r="K113" s="16">
        <v>270000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</row>
    <row r="114" spans="1:19" ht="10.9" customHeight="1" x14ac:dyDescent="0.2">
      <c r="F114" s="12" t="s">
        <v>118</v>
      </c>
      <c r="G114" s="16">
        <v>833324</v>
      </c>
      <c r="H114" s="16">
        <v>2390147.67</v>
      </c>
      <c r="I114" s="16">
        <v>1089057</v>
      </c>
      <c r="J114" s="16">
        <v>1238748</v>
      </c>
      <c r="K114" s="16">
        <v>1087198</v>
      </c>
      <c r="L114" s="16">
        <v>1787058</v>
      </c>
      <c r="M114" s="16">
        <v>1532522</v>
      </c>
      <c r="N114" s="16">
        <v>1579194</v>
      </c>
      <c r="O114" s="16">
        <v>1566586</v>
      </c>
      <c r="P114" s="16">
        <v>1060636</v>
      </c>
      <c r="Q114" s="16">
        <v>1099666</v>
      </c>
      <c r="R114" s="16">
        <v>971625</v>
      </c>
      <c r="S114" s="16">
        <v>686875</v>
      </c>
    </row>
    <row r="115" spans="1:19" ht="10.9" customHeight="1" x14ac:dyDescent="0.2">
      <c r="F115" s="12" t="s">
        <v>119</v>
      </c>
      <c r="G115" s="16">
        <v>2166998</v>
      </c>
      <c r="H115" s="16">
        <v>0</v>
      </c>
      <c r="I115" s="16">
        <v>0</v>
      </c>
      <c r="J115" s="16">
        <v>0</v>
      </c>
      <c r="K115" s="16">
        <v>323511.75</v>
      </c>
      <c r="L115" s="16">
        <v>6744584</v>
      </c>
      <c r="M115" s="16">
        <v>786348</v>
      </c>
      <c r="N115" s="16">
        <v>57942</v>
      </c>
      <c r="O115" s="16">
        <v>0</v>
      </c>
      <c r="P115" s="16">
        <v>375170</v>
      </c>
      <c r="Q115" s="16">
        <v>312748</v>
      </c>
      <c r="R115" s="16">
        <v>776723</v>
      </c>
      <c r="S115" s="16">
        <v>692700</v>
      </c>
    </row>
    <row r="116" spans="1:19" ht="10.9" customHeight="1" x14ac:dyDescent="0.2">
      <c r="F116" s="12" t="s">
        <v>120</v>
      </c>
      <c r="G116" s="16">
        <v>0</v>
      </c>
      <c r="H116" s="16">
        <v>0</v>
      </c>
      <c r="I116" s="16">
        <v>0</v>
      </c>
      <c r="J116" s="16">
        <v>225000</v>
      </c>
      <c r="K116" s="16">
        <v>31854000</v>
      </c>
      <c r="L116" s="16">
        <v>0</v>
      </c>
      <c r="M116" s="16">
        <v>1325000</v>
      </c>
      <c r="N116" s="16">
        <v>0</v>
      </c>
      <c r="O116" s="16">
        <v>757000</v>
      </c>
      <c r="P116" s="16">
        <v>0</v>
      </c>
      <c r="Q116" s="16">
        <v>2333500</v>
      </c>
      <c r="R116" s="16">
        <v>0</v>
      </c>
      <c r="S116" s="16">
        <v>0</v>
      </c>
    </row>
    <row r="117" spans="1:19" ht="10.9" customHeight="1" x14ac:dyDescent="0.2">
      <c r="F117" s="12" t="s">
        <v>121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4273972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</row>
    <row r="118" spans="1:19" ht="10.9" customHeight="1" x14ac:dyDescent="0.2">
      <c r="E118" s="13" t="s">
        <v>122</v>
      </c>
      <c r="G118" s="17">
        <f t="shared" ref="G118:S118" si="21">SUM(G101:G117)</f>
        <v>34447283</v>
      </c>
      <c r="H118" s="17">
        <f t="shared" si="21"/>
        <v>34749466.340000004</v>
      </c>
      <c r="I118" s="17">
        <f t="shared" si="21"/>
        <v>22926890</v>
      </c>
      <c r="J118" s="17">
        <f t="shared" si="21"/>
        <v>21257703</v>
      </c>
      <c r="K118" s="17">
        <f t="shared" si="21"/>
        <v>64942880.75</v>
      </c>
      <c r="L118" s="17">
        <f t="shared" si="21"/>
        <v>102210388.67</v>
      </c>
      <c r="M118" s="17">
        <f t="shared" si="21"/>
        <v>71196843</v>
      </c>
      <c r="N118" s="17">
        <f t="shared" si="21"/>
        <v>52372348.659999996</v>
      </c>
      <c r="O118" s="17">
        <f t="shared" si="21"/>
        <v>63874893</v>
      </c>
      <c r="P118" s="17">
        <f t="shared" si="21"/>
        <v>99685105</v>
      </c>
      <c r="Q118" s="17">
        <f t="shared" si="21"/>
        <v>22940716</v>
      </c>
      <c r="R118" s="17">
        <f t="shared" si="21"/>
        <v>18944044</v>
      </c>
      <c r="S118" s="17">
        <f t="shared" si="21"/>
        <v>14468269</v>
      </c>
    </row>
    <row r="119" spans="1:19" ht="10.9" customHeight="1" x14ac:dyDescent="0.2">
      <c r="A119" s="11"/>
      <c r="B119" s="11"/>
      <c r="C119" s="11"/>
      <c r="D119" s="11"/>
      <c r="E119" s="11" t="s">
        <v>123</v>
      </c>
      <c r="F119" s="11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1:19" ht="10.9" customHeight="1" x14ac:dyDescent="0.2">
      <c r="F120" s="12" t="s">
        <v>124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22000000</v>
      </c>
      <c r="N120" s="16">
        <v>22000000</v>
      </c>
      <c r="O120" s="16">
        <v>22000000</v>
      </c>
      <c r="P120" s="16">
        <v>0</v>
      </c>
      <c r="Q120" s="16">
        <v>0</v>
      </c>
      <c r="R120" s="16">
        <v>0</v>
      </c>
      <c r="S120" s="16">
        <v>0</v>
      </c>
    </row>
    <row r="121" spans="1:19" ht="10.9" customHeight="1" x14ac:dyDescent="0.2">
      <c r="F121" s="12" t="s">
        <v>125</v>
      </c>
      <c r="G121" s="16">
        <v>222796</v>
      </c>
      <c r="H121" s="16">
        <v>0</v>
      </c>
      <c r="I121" s="16">
        <v>25887</v>
      </c>
      <c r="J121" s="16">
        <v>25887</v>
      </c>
      <c r="K121" s="16">
        <v>0</v>
      </c>
      <c r="L121" s="16">
        <v>181917</v>
      </c>
      <c r="M121" s="16">
        <v>275965</v>
      </c>
      <c r="N121" s="16">
        <v>604855</v>
      </c>
      <c r="O121" s="16">
        <v>376600</v>
      </c>
      <c r="P121" s="16">
        <v>48300</v>
      </c>
      <c r="Q121" s="16">
        <v>72450</v>
      </c>
      <c r="R121" s="16">
        <v>66080</v>
      </c>
      <c r="S121" s="16">
        <v>151005</v>
      </c>
    </row>
    <row r="122" spans="1:19" ht="10.9" customHeight="1" x14ac:dyDescent="0.2">
      <c r="F122" s="12" t="s">
        <v>126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1510393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</row>
    <row r="123" spans="1:19" ht="10.9" customHeight="1" x14ac:dyDescent="0.2">
      <c r="F123" s="12" t="s">
        <v>127</v>
      </c>
      <c r="G123" s="16">
        <v>112500</v>
      </c>
      <c r="H123" s="16">
        <v>210000</v>
      </c>
      <c r="I123" s="16">
        <v>259000</v>
      </c>
      <c r="J123" s="16">
        <v>192000</v>
      </c>
      <c r="K123" s="16">
        <v>248500</v>
      </c>
      <c r="L123" s="16">
        <v>112500</v>
      </c>
      <c r="M123" s="16">
        <v>301500</v>
      </c>
      <c r="N123" s="16">
        <v>364750</v>
      </c>
      <c r="O123" s="16">
        <v>432000</v>
      </c>
      <c r="P123" s="16">
        <v>0</v>
      </c>
      <c r="Q123" s="16">
        <v>0</v>
      </c>
      <c r="R123" s="16">
        <v>0</v>
      </c>
      <c r="S123" s="16">
        <v>0</v>
      </c>
    </row>
    <row r="124" spans="1:19" ht="10.9" customHeight="1" x14ac:dyDescent="0.2">
      <c r="F124" s="12" t="s">
        <v>128</v>
      </c>
      <c r="G124" s="16">
        <v>0</v>
      </c>
      <c r="H124" s="16">
        <v>0</v>
      </c>
      <c r="I124" s="16">
        <v>1008800</v>
      </c>
      <c r="J124" s="16">
        <v>6713600</v>
      </c>
      <c r="K124" s="16">
        <v>0</v>
      </c>
      <c r="L124" s="16">
        <v>0</v>
      </c>
      <c r="M124" s="16">
        <v>0</v>
      </c>
      <c r="N124" s="16">
        <v>0</v>
      </c>
      <c r="O124" s="16">
        <v>5700800</v>
      </c>
      <c r="P124" s="16">
        <v>0</v>
      </c>
      <c r="Q124" s="16">
        <v>0</v>
      </c>
      <c r="R124" s="16">
        <v>1042400</v>
      </c>
      <c r="S124" s="16">
        <v>0</v>
      </c>
    </row>
    <row r="125" spans="1:19" ht="10.9" customHeight="1" x14ac:dyDescent="0.2">
      <c r="F125" s="12" t="s">
        <v>129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23240</v>
      </c>
    </row>
    <row r="126" spans="1:19" ht="10.9" customHeight="1" x14ac:dyDescent="0.2">
      <c r="F126" s="12" t="s">
        <v>130</v>
      </c>
      <c r="G126" s="16">
        <v>0</v>
      </c>
      <c r="H126" s="16">
        <v>8608476</v>
      </c>
      <c r="I126" s="16">
        <v>42400</v>
      </c>
      <c r="J126" s="16">
        <v>71500</v>
      </c>
      <c r="K126" s="16">
        <v>1596951.34</v>
      </c>
      <c r="L126" s="16">
        <v>1526245</v>
      </c>
      <c r="M126" s="16">
        <v>2614686</v>
      </c>
      <c r="N126" s="16">
        <v>5138000</v>
      </c>
      <c r="O126" s="16">
        <v>5803500</v>
      </c>
      <c r="P126" s="16">
        <v>457093</v>
      </c>
      <c r="Q126" s="16">
        <v>99000</v>
      </c>
      <c r="R126" s="16">
        <v>1163500</v>
      </c>
      <c r="S126" s="16">
        <v>260000</v>
      </c>
    </row>
    <row r="127" spans="1:19" ht="10.9" customHeight="1" x14ac:dyDescent="0.2">
      <c r="F127" s="12" t="s">
        <v>131</v>
      </c>
      <c r="G127" s="16">
        <v>96625</v>
      </c>
      <c r="H127" s="16">
        <v>0</v>
      </c>
      <c r="I127" s="16">
        <v>20000</v>
      </c>
      <c r="J127" s="16">
        <v>0</v>
      </c>
      <c r="K127" s="16">
        <v>179500</v>
      </c>
      <c r="L127" s="16">
        <v>100813</v>
      </c>
      <c r="M127" s="16">
        <v>82000</v>
      </c>
      <c r="N127" s="16">
        <v>399125</v>
      </c>
      <c r="O127" s="16">
        <v>126438</v>
      </c>
      <c r="P127" s="16">
        <v>170000</v>
      </c>
      <c r="Q127" s="16">
        <v>0</v>
      </c>
      <c r="R127" s="16">
        <v>30000</v>
      </c>
      <c r="S127" s="16">
        <v>452000</v>
      </c>
    </row>
    <row r="128" spans="1:19" ht="10.9" customHeight="1" x14ac:dyDescent="0.2">
      <c r="F128" s="12" t="s">
        <v>132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200000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</row>
    <row r="129" spans="1:19" ht="10.9" customHeight="1" x14ac:dyDescent="0.2">
      <c r="F129" s="12" t="s">
        <v>133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4650000</v>
      </c>
      <c r="M129" s="16">
        <v>0</v>
      </c>
      <c r="N129" s="16">
        <v>0</v>
      </c>
      <c r="O129" s="16">
        <v>4582000</v>
      </c>
      <c r="P129" s="16">
        <v>0</v>
      </c>
      <c r="Q129" s="16">
        <v>182000</v>
      </c>
      <c r="R129" s="16">
        <v>0</v>
      </c>
      <c r="S129" s="16">
        <v>0</v>
      </c>
    </row>
    <row r="130" spans="1:19" ht="10.9" customHeight="1" x14ac:dyDescent="0.2">
      <c r="F130" s="12" t="s">
        <v>134</v>
      </c>
      <c r="G130" s="16">
        <v>0</v>
      </c>
      <c r="H130" s="16">
        <v>90000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270000</v>
      </c>
      <c r="O130" s="16">
        <v>666000</v>
      </c>
      <c r="P130" s="16">
        <v>384000</v>
      </c>
      <c r="Q130" s="16">
        <v>384000</v>
      </c>
      <c r="R130" s="16">
        <v>384000</v>
      </c>
      <c r="S130" s="16">
        <v>384000</v>
      </c>
    </row>
    <row r="131" spans="1:19" ht="10.9" customHeight="1" x14ac:dyDescent="0.2">
      <c r="F131" s="12" t="s">
        <v>135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279465</v>
      </c>
      <c r="P131" s="16">
        <v>0</v>
      </c>
      <c r="Q131" s="16">
        <v>0</v>
      </c>
      <c r="R131" s="16">
        <v>0</v>
      </c>
      <c r="S131" s="16">
        <v>0</v>
      </c>
    </row>
    <row r="132" spans="1:19" ht="10.9" customHeight="1" x14ac:dyDescent="0.2">
      <c r="F132" s="12" t="s">
        <v>136</v>
      </c>
      <c r="G132" s="16">
        <v>3498000</v>
      </c>
      <c r="H132" s="16">
        <v>3873500</v>
      </c>
      <c r="I132" s="16">
        <v>5179250</v>
      </c>
      <c r="J132" s="16">
        <v>5561750</v>
      </c>
      <c r="K132" s="16">
        <v>6992500</v>
      </c>
      <c r="L132" s="16">
        <v>7964750</v>
      </c>
      <c r="M132" s="16">
        <v>8446000</v>
      </c>
      <c r="N132" s="16">
        <v>9661000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</row>
    <row r="133" spans="1:19" ht="10.9" customHeight="1" x14ac:dyDescent="0.2">
      <c r="E133" s="13" t="s">
        <v>137</v>
      </c>
      <c r="G133" s="17">
        <f t="shared" ref="G133:S133" si="22">SUM(G120:G132)</f>
        <v>3929921</v>
      </c>
      <c r="H133" s="17">
        <f t="shared" si="22"/>
        <v>12781976</v>
      </c>
      <c r="I133" s="17">
        <f t="shared" si="22"/>
        <v>6535337</v>
      </c>
      <c r="J133" s="17">
        <f t="shared" si="22"/>
        <v>12564737</v>
      </c>
      <c r="K133" s="17">
        <f t="shared" si="22"/>
        <v>9017451.3399999999</v>
      </c>
      <c r="L133" s="17">
        <f t="shared" si="22"/>
        <v>16046618</v>
      </c>
      <c r="M133" s="17">
        <f t="shared" si="22"/>
        <v>33720151</v>
      </c>
      <c r="N133" s="17">
        <f t="shared" si="22"/>
        <v>38637730</v>
      </c>
      <c r="O133" s="17">
        <f t="shared" si="22"/>
        <v>39966803</v>
      </c>
      <c r="P133" s="17">
        <f t="shared" si="22"/>
        <v>1059393</v>
      </c>
      <c r="Q133" s="17">
        <f t="shared" si="22"/>
        <v>737450</v>
      </c>
      <c r="R133" s="17">
        <f t="shared" si="22"/>
        <v>2685980</v>
      </c>
      <c r="S133" s="17">
        <f t="shared" si="22"/>
        <v>1270245</v>
      </c>
    </row>
    <row r="134" spans="1:19" ht="10.9" customHeight="1" x14ac:dyDescent="0.2">
      <c r="D134" s="13" t="s">
        <v>138</v>
      </c>
      <c r="G134" s="17">
        <f t="shared" ref="G134:S134" si="23">(0 + ((G99 + G118) + G133))</f>
        <v>348919961.88999999</v>
      </c>
      <c r="H134" s="17">
        <f t="shared" si="23"/>
        <v>357366073.84000003</v>
      </c>
      <c r="I134" s="17">
        <f t="shared" si="23"/>
        <v>295965970.5</v>
      </c>
      <c r="J134" s="17">
        <f t="shared" si="23"/>
        <v>317180784.87</v>
      </c>
      <c r="K134" s="17">
        <f t="shared" si="23"/>
        <v>382958946.62999994</v>
      </c>
      <c r="L134" s="17">
        <f t="shared" si="23"/>
        <v>627854287.19999993</v>
      </c>
      <c r="M134" s="17">
        <f t="shared" si="23"/>
        <v>532772301.69999999</v>
      </c>
      <c r="N134" s="17">
        <f t="shared" si="23"/>
        <v>620933254.34000003</v>
      </c>
      <c r="O134" s="17">
        <f t="shared" si="23"/>
        <v>513877165.02999997</v>
      </c>
      <c r="P134" s="17">
        <f t="shared" si="23"/>
        <v>360896224.50999999</v>
      </c>
      <c r="Q134" s="17">
        <f t="shared" si="23"/>
        <v>201104616.5</v>
      </c>
      <c r="R134" s="17">
        <f t="shared" si="23"/>
        <v>243324339</v>
      </c>
      <c r="S134" s="17">
        <f t="shared" si="23"/>
        <v>137557052</v>
      </c>
    </row>
    <row r="135" spans="1:19" ht="10.9" customHeight="1" x14ac:dyDescent="0.2">
      <c r="C135" s="13" t="s">
        <v>139</v>
      </c>
      <c r="G135" s="17">
        <f t="shared" ref="G135:S135" si="24">(0 + G134)</f>
        <v>348919961.88999999</v>
      </c>
      <c r="H135" s="17">
        <f t="shared" si="24"/>
        <v>357366073.84000003</v>
      </c>
      <c r="I135" s="17">
        <f t="shared" si="24"/>
        <v>295965970.5</v>
      </c>
      <c r="J135" s="17">
        <f t="shared" si="24"/>
        <v>317180784.87</v>
      </c>
      <c r="K135" s="17">
        <f t="shared" si="24"/>
        <v>382958946.62999994</v>
      </c>
      <c r="L135" s="17">
        <f t="shared" si="24"/>
        <v>627854287.19999993</v>
      </c>
      <c r="M135" s="17">
        <f t="shared" si="24"/>
        <v>532772301.69999999</v>
      </c>
      <c r="N135" s="17">
        <f t="shared" si="24"/>
        <v>620933254.34000003</v>
      </c>
      <c r="O135" s="17">
        <f t="shared" si="24"/>
        <v>513877165.02999997</v>
      </c>
      <c r="P135" s="17">
        <f t="shared" si="24"/>
        <v>360896224.50999999</v>
      </c>
      <c r="Q135" s="17">
        <f t="shared" si="24"/>
        <v>201104616.5</v>
      </c>
      <c r="R135" s="17">
        <f t="shared" si="24"/>
        <v>243324339</v>
      </c>
      <c r="S135" s="17">
        <f t="shared" si="24"/>
        <v>137557052</v>
      </c>
    </row>
    <row r="136" spans="1:19" ht="10.9" customHeight="1" x14ac:dyDescent="0.2">
      <c r="A136" s="11"/>
      <c r="B136" s="11"/>
      <c r="C136" s="11" t="s">
        <v>140</v>
      </c>
      <c r="D136" s="11"/>
      <c r="E136" s="11"/>
      <c r="F136" s="11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1:19" ht="10.9" customHeight="1" x14ac:dyDescent="0.2">
      <c r="A137" s="11"/>
      <c r="B137" s="11"/>
      <c r="C137" s="11"/>
      <c r="D137" s="11" t="s">
        <v>141</v>
      </c>
      <c r="E137" s="11"/>
      <c r="F137" s="11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1:19" ht="10.9" customHeight="1" x14ac:dyDescent="0.2">
      <c r="A138" s="11"/>
      <c r="B138" s="11"/>
      <c r="C138" s="11"/>
      <c r="D138" s="11"/>
      <c r="E138" s="11" t="s">
        <v>142</v>
      </c>
      <c r="F138" s="11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1:19" ht="10.9" customHeight="1" x14ac:dyDescent="0.2">
      <c r="A139" s="11"/>
      <c r="B139" s="11"/>
      <c r="C139" s="11"/>
      <c r="D139" s="11"/>
      <c r="E139" s="11"/>
      <c r="F139" s="11" t="s">
        <v>142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ht="10.9" customHeight="1" x14ac:dyDescent="0.2">
      <c r="F140" s="12" t="s">
        <v>143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10000000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</row>
    <row r="141" spans="1:19" ht="10.9" customHeight="1" x14ac:dyDescent="0.2">
      <c r="F141" s="12" t="s">
        <v>144</v>
      </c>
      <c r="G141" s="16">
        <v>2645988</v>
      </c>
      <c r="H141" s="16">
        <v>566060</v>
      </c>
      <c r="I141" s="16">
        <v>94620</v>
      </c>
      <c r="J141" s="16">
        <v>0</v>
      </c>
      <c r="K141" s="16">
        <v>822340</v>
      </c>
      <c r="L141" s="16">
        <v>22410</v>
      </c>
      <c r="M141" s="16">
        <v>5943148.5999999996</v>
      </c>
      <c r="N141" s="16">
        <v>0</v>
      </c>
      <c r="O141" s="16">
        <v>5855576</v>
      </c>
      <c r="P141" s="16">
        <v>169320</v>
      </c>
      <c r="Q141" s="16">
        <v>1236700</v>
      </c>
      <c r="R141" s="16">
        <v>2948970</v>
      </c>
      <c r="S141" s="16">
        <v>287180</v>
      </c>
    </row>
    <row r="142" spans="1:19" ht="10.9" customHeight="1" x14ac:dyDescent="0.2">
      <c r="F142" s="12" t="s">
        <v>145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5000000</v>
      </c>
    </row>
    <row r="143" spans="1:19" ht="10.9" customHeight="1" x14ac:dyDescent="0.2">
      <c r="F143" s="12" t="s">
        <v>146</v>
      </c>
      <c r="G143" s="16">
        <v>0</v>
      </c>
      <c r="H143" s="16">
        <v>0</v>
      </c>
      <c r="I143" s="16">
        <v>130005</v>
      </c>
      <c r="J143" s="16">
        <v>4093</v>
      </c>
      <c r="K143" s="16">
        <v>0</v>
      </c>
      <c r="L143" s="16">
        <v>0</v>
      </c>
      <c r="M143" s="16">
        <v>0</v>
      </c>
      <c r="N143" s="16">
        <v>219000</v>
      </c>
      <c r="O143" s="16">
        <v>1000000</v>
      </c>
      <c r="P143" s="16">
        <v>1000000</v>
      </c>
      <c r="Q143" s="16">
        <v>1000000</v>
      </c>
      <c r="R143" s="16">
        <v>0</v>
      </c>
      <c r="S143" s="16">
        <v>0</v>
      </c>
    </row>
    <row r="144" spans="1:19" ht="10.9" customHeight="1" x14ac:dyDescent="0.2">
      <c r="F144" s="12" t="s">
        <v>147</v>
      </c>
      <c r="G144" s="16">
        <v>101000</v>
      </c>
      <c r="H144" s="16">
        <v>408000</v>
      </c>
      <c r="I144" s="16">
        <v>104000</v>
      </c>
      <c r="J144" s="16">
        <v>14000</v>
      </c>
      <c r="K144" s="16">
        <v>90700</v>
      </c>
      <c r="L144" s="16">
        <v>237200</v>
      </c>
      <c r="M144" s="16">
        <v>67500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</row>
    <row r="145" spans="1:19" ht="10.9" customHeight="1" x14ac:dyDescent="0.2">
      <c r="F145" s="12" t="s">
        <v>148</v>
      </c>
      <c r="G145" s="16">
        <v>0</v>
      </c>
      <c r="H145" s="16">
        <v>1250000</v>
      </c>
      <c r="I145" s="16">
        <v>550000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</row>
    <row r="146" spans="1:19" ht="10.9" customHeight="1" x14ac:dyDescent="0.2">
      <c r="F146" s="12" t="s">
        <v>149</v>
      </c>
      <c r="G146" s="16">
        <v>0</v>
      </c>
      <c r="H146" s="16">
        <v>0</v>
      </c>
      <c r="I146" s="16">
        <v>83038264</v>
      </c>
      <c r="J146" s="16">
        <v>0</v>
      </c>
      <c r="K146" s="16">
        <v>0</v>
      </c>
      <c r="L146" s="16">
        <v>0</v>
      </c>
      <c r="M146" s="16">
        <v>6930782</v>
      </c>
      <c r="N146" s="16">
        <v>0</v>
      </c>
      <c r="O146" s="16">
        <v>1984300</v>
      </c>
      <c r="P146" s="16">
        <v>8486300</v>
      </c>
      <c r="Q146" s="16">
        <v>0</v>
      </c>
      <c r="R146" s="16">
        <v>0</v>
      </c>
      <c r="S146" s="16">
        <v>0</v>
      </c>
    </row>
    <row r="147" spans="1:19" ht="10.9" customHeight="1" x14ac:dyDescent="0.2">
      <c r="F147" s="12" t="s">
        <v>150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182000</v>
      </c>
      <c r="R147" s="16">
        <v>0</v>
      </c>
      <c r="S147" s="16">
        <v>0</v>
      </c>
    </row>
    <row r="148" spans="1:19" ht="10.9" customHeight="1" x14ac:dyDescent="0.2">
      <c r="F148" s="12" t="s">
        <v>151</v>
      </c>
      <c r="G148" s="16">
        <v>198034</v>
      </c>
      <c r="H148" s="16">
        <v>454470</v>
      </c>
      <c r="I148" s="16">
        <v>0</v>
      </c>
      <c r="J148" s="16">
        <v>0</v>
      </c>
      <c r="K148" s="16">
        <v>0</v>
      </c>
      <c r="L148" s="16">
        <v>690135</v>
      </c>
      <c r="M148" s="16">
        <v>1339664.5</v>
      </c>
      <c r="N148" s="16">
        <v>867620</v>
      </c>
      <c r="O148" s="16">
        <v>346100</v>
      </c>
      <c r="P148" s="16">
        <v>1159860</v>
      </c>
      <c r="Q148" s="16">
        <v>221130</v>
      </c>
      <c r="R148" s="16">
        <v>442260</v>
      </c>
      <c r="S148" s="16">
        <v>737100</v>
      </c>
    </row>
    <row r="149" spans="1:19" ht="10.9" customHeight="1" x14ac:dyDescent="0.2">
      <c r="F149" s="12" t="s">
        <v>152</v>
      </c>
      <c r="G149" s="16">
        <v>4875675</v>
      </c>
      <c r="H149" s="16">
        <v>5548345</v>
      </c>
      <c r="I149" s="16">
        <v>5140420</v>
      </c>
      <c r="J149" s="16">
        <v>5141330.4000000004</v>
      </c>
      <c r="K149" s="16">
        <v>8661906.3000000007</v>
      </c>
      <c r="L149" s="16">
        <v>5475046.8600000003</v>
      </c>
      <c r="M149" s="16">
        <v>5587983.2999999998</v>
      </c>
      <c r="N149" s="16">
        <v>8023062.96</v>
      </c>
      <c r="O149" s="16">
        <v>7873895.0999999996</v>
      </c>
      <c r="P149" s="16">
        <v>7034934.9000000004</v>
      </c>
      <c r="Q149" s="16">
        <v>5572698.5999999996</v>
      </c>
      <c r="R149" s="16">
        <v>4704857.0999999996</v>
      </c>
      <c r="S149" s="16">
        <v>5053008.5999999996</v>
      </c>
    </row>
    <row r="150" spans="1:19" ht="10.9" customHeight="1" x14ac:dyDescent="0.2">
      <c r="F150" s="12" t="s">
        <v>153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1028249.5</v>
      </c>
      <c r="Q150" s="16">
        <v>632430</v>
      </c>
      <c r="R150" s="16">
        <v>0</v>
      </c>
      <c r="S150" s="16">
        <v>0</v>
      </c>
    </row>
    <row r="151" spans="1:19" ht="10.9" customHeight="1" x14ac:dyDescent="0.2">
      <c r="F151" s="12" t="s">
        <v>154</v>
      </c>
      <c r="G151" s="16">
        <v>0</v>
      </c>
      <c r="H151" s="16">
        <v>0</v>
      </c>
      <c r="I151" s="16">
        <v>0</v>
      </c>
      <c r="J151" s="16">
        <v>3750000</v>
      </c>
      <c r="K151" s="16">
        <v>3750000</v>
      </c>
      <c r="L151" s="16">
        <v>3750000</v>
      </c>
      <c r="M151" s="16">
        <v>3750000</v>
      </c>
      <c r="N151" s="16">
        <v>3750000</v>
      </c>
      <c r="O151" s="16">
        <v>3750000</v>
      </c>
      <c r="P151" s="16">
        <v>3750000</v>
      </c>
      <c r="Q151" s="16">
        <v>18750000</v>
      </c>
      <c r="R151" s="16">
        <v>0</v>
      </c>
      <c r="S151" s="16">
        <v>0</v>
      </c>
    </row>
    <row r="152" spans="1:19" ht="10.9" customHeight="1" x14ac:dyDescent="0.2">
      <c r="F152" s="13" t="s">
        <v>155</v>
      </c>
      <c r="G152" s="17">
        <f t="shared" ref="G152:S152" si="25">SUM(G140:G151)</f>
        <v>7820697</v>
      </c>
      <c r="H152" s="17">
        <f t="shared" si="25"/>
        <v>8226875</v>
      </c>
      <c r="I152" s="17">
        <f t="shared" si="25"/>
        <v>89057309</v>
      </c>
      <c r="J152" s="17">
        <f t="shared" si="25"/>
        <v>8909423.4000000004</v>
      </c>
      <c r="K152" s="17">
        <f t="shared" si="25"/>
        <v>13324946.300000001</v>
      </c>
      <c r="L152" s="17">
        <f t="shared" si="25"/>
        <v>10174791.859999999</v>
      </c>
      <c r="M152" s="17">
        <f t="shared" si="25"/>
        <v>33619078.400000006</v>
      </c>
      <c r="N152" s="17">
        <f t="shared" si="25"/>
        <v>12859682.960000001</v>
      </c>
      <c r="O152" s="17">
        <f t="shared" si="25"/>
        <v>20809871.100000001</v>
      </c>
      <c r="P152" s="17">
        <f t="shared" si="25"/>
        <v>22628664.399999999</v>
      </c>
      <c r="Q152" s="17">
        <f t="shared" si="25"/>
        <v>27594958.600000001</v>
      </c>
      <c r="R152" s="17">
        <f t="shared" si="25"/>
        <v>8096087.0999999996</v>
      </c>
      <c r="S152" s="17">
        <f t="shared" si="25"/>
        <v>11077288.6</v>
      </c>
    </row>
    <row r="153" spans="1:19" ht="10.9" customHeight="1" x14ac:dyDescent="0.2">
      <c r="A153" s="11"/>
      <c r="B153" s="11"/>
      <c r="C153" s="11"/>
      <c r="D153" s="11"/>
      <c r="E153" s="11"/>
      <c r="F153" s="11" t="s">
        <v>156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1:19" ht="10.9" customHeight="1" x14ac:dyDescent="0.2">
      <c r="F154" s="12" t="s">
        <v>157</v>
      </c>
      <c r="G154" s="16">
        <v>2227605.42</v>
      </c>
      <c r="H154" s="16">
        <v>1399221.01</v>
      </c>
      <c r="I154" s="16">
        <v>2019156.31</v>
      </c>
      <c r="J154" s="16">
        <v>4136095.85</v>
      </c>
      <c r="K154" s="16">
        <v>1982182.62</v>
      </c>
      <c r="L154" s="16">
        <v>1199878.8600000001</v>
      </c>
      <c r="M154" s="16">
        <v>1770599.33</v>
      </c>
      <c r="N154" s="16">
        <v>1461373.65</v>
      </c>
      <c r="O154" s="16">
        <v>697552.35</v>
      </c>
      <c r="P154" s="16">
        <v>1621421.15</v>
      </c>
      <c r="Q154" s="16">
        <v>1155557.8600000001</v>
      </c>
      <c r="R154" s="16">
        <v>1228172.3400000001</v>
      </c>
      <c r="S154" s="16">
        <v>590778.24</v>
      </c>
    </row>
    <row r="155" spans="1:19" ht="10.9" customHeight="1" x14ac:dyDescent="0.2">
      <c r="F155" s="12" t="s">
        <v>158</v>
      </c>
      <c r="G155" s="16">
        <v>-298968.05</v>
      </c>
      <c r="H155" s="16">
        <v>925.8</v>
      </c>
      <c r="I155" s="16">
        <v>-141084.26</v>
      </c>
      <c r="J155" s="16">
        <v>1211606.4099999999</v>
      </c>
      <c r="K155" s="16">
        <v>452635.57</v>
      </c>
      <c r="L155" s="16">
        <v>1048394.21</v>
      </c>
      <c r="M155" s="16">
        <v>-596496.79</v>
      </c>
      <c r="N155" s="16">
        <v>630722.51</v>
      </c>
      <c r="O155" s="16">
        <v>109523.43</v>
      </c>
      <c r="P155" s="16">
        <v>767964.65</v>
      </c>
      <c r="Q155" s="16">
        <v>6434223.0700000003</v>
      </c>
      <c r="R155" s="16">
        <v>58075.11</v>
      </c>
      <c r="S155" s="16">
        <v>140847.14000000001</v>
      </c>
    </row>
    <row r="156" spans="1:19" ht="10.9" customHeight="1" x14ac:dyDescent="0.2">
      <c r="F156" s="12" t="s">
        <v>159</v>
      </c>
      <c r="G156" s="16">
        <v>5500000</v>
      </c>
      <c r="H156" s="16">
        <v>11000000</v>
      </c>
      <c r="I156" s="16">
        <v>22000000</v>
      </c>
      <c r="J156" s="16">
        <v>137368540.41999999</v>
      </c>
      <c r="K156" s="16">
        <v>0</v>
      </c>
      <c r="L156" s="16">
        <v>0</v>
      </c>
      <c r="M156" s="16">
        <v>5500000</v>
      </c>
      <c r="N156" s="16">
        <v>5500000</v>
      </c>
      <c r="O156" s="16">
        <v>5500000</v>
      </c>
      <c r="P156" s="16">
        <v>0</v>
      </c>
      <c r="Q156" s="16">
        <v>0</v>
      </c>
      <c r="R156" s="16">
        <v>-5612245</v>
      </c>
      <c r="S156" s="16">
        <v>0</v>
      </c>
    </row>
    <row r="157" spans="1:19" ht="10.9" customHeight="1" x14ac:dyDescent="0.2">
      <c r="F157" s="12" t="s">
        <v>160</v>
      </c>
      <c r="G157" s="16">
        <v>17468715</v>
      </c>
      <c r="H157" s="16">
        <v>23385726</v>
      </c>
      <c r="I157" s="16">
        <v>19577965</v>
      </c>
      <c r="J157" s="16">
        <v>16495497</v>
      </c>
      <c r="K157" s="16">
        <v>20698294</v>
      </c>
      <c r="L157" s="16">
        <v>35126346</v>
      </c>
      <c r="M157" s="16">
        <v>32632892.5</v>
      </c>
      <c r="N157" s="16">
        <v>51802844.549999997</v>
      </c>
      <c r="O157" s="16">
        <v>35170235</v>
      </c>
      <c r="P157" s="16">
        <v>18247947</v>
      </c>
      <c r="Q157" s="16">
        <v>17021402.629999999</v>
      </c>
      <c r="R157" s="16">
        <v>16771807.5</v>
      </c>
      <c r="S157" s="16">
        <v>12515508</v>
      </c>
    </row>
    <row r="158" spans="1:19" ht="10.9" customHeight="1" x14ac:dyDescent="0.2">
      <c r="F158" s="12" t="s">
        <v>161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650000</v>
      </c>
      <c r="O158" s="16">
        <v>0</v>
      </c>
      <c r="P158" s="16">
        <v>1156500</v>
      </c>
      <c r="Q158" s="16">
        <v>900000</v>
      </c>
      <c r="R158" s="16">
        <v>0</v>
      </c>
      <c r="S158" s="16">
        <v>1000000</v>
      </c>
    </row>
    <row r="159" spans="1:19" ht="10.9" customHeight="1" x14ac:dyDescent="0.2">
      <c r="F159" s="12" t="s">
        <v>162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1716855</v>
      </c>
      <c r="Q159" s="16">
        <v>505055</v>
      </c>
      <c r="R159" s="16">
        <v>0</v>
      </c>
      <c r="S159" s="16">
        <v>0</v>
      </c>
    </row>
    <row r="160" spans="1:19" ht="10.9" customHeight="1" x14ac:dyDescent="0.2">
      <c r="F160" s="12" t="s">
        <v>163</v>
      </c>
      <c r="G160" s="16">
        <v>5435808</v>
      </c>
      <c r="H160" s="16">
        <v>5435808</v>
      </c>
      <c r="I160" s="16">
        <v>5435808</v>
      </c>
      <c r="J160" s="16">
        <v>5312870.92</v>
      </c>
      <c r="K160" s="16">
        <v>5312870.92</v>
      </c>
      <c r="L160" s="16">
        <v>5312870.92</v>
      </c>
      <c r="M160" s="16">
        <v>5312870.92</v>
      </c>
      <c r="N160" s="16">
        <v>5312870.92</v>
      </c>
      <c r="O160" s="16">
        <v>5312870.92</v>
      </c>
      <c r="P160" s="16">
        <v>5312870.92</v>
      </c>
      <c r="Q160" s="16">
        <v>5312870.92</v>
      </c>
      <c r="R160" s="16">
        <v>5312870.92</v>
      </c>
      <c r="S160" s="16">
        <v>5312870.92</v>
      </c>
    </row>
    <row r="161" spans="1:19" ht="10.9" customHeight="1" x14ac:dyDescent="0.2">
      <c r="F161" s="12" t="s">
        <v>164</v>
      </c>
      <c r="G161" s="16">
        <v>0</v>
      </c>
      <c r="H161" s="16">
        <v>0</v>
      </c>
      <c r="I161" s="16">
        <v>29000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</row>
    <row r="162" spans="1:19" ht="10.9" customHeight="1" x14ac:dyDescent="0.2">
      <c r="F162" s="12" t="s">
        <v>165</v>
      </c>
      <c r="G162" s="16">
        <v>95000</v>
      </c>
      <c r="H162" s="16">
        <v>28000</v>
      </c>
      <c r="I162" s="16">
        <v>0</v>
      </c>
      <c r="J162" s="16">
        <v>0</v>
      </c>
      <c r="K162" s="16">
        <v>0</v>
      </c>
      <c r="L162" s="16">
        <v>750000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14000</v>
      </c>
      <c r="S162" s="16">
        <v>14000</v>
      </c>
    </row>
    <row r="163" spans="1:19" ht="10.9" customHeight="1" x14ac:dyDescent="0.2">
      <c r="F163" s="12" t="s">
        <v>166</v>
      </c>
      <c r="G163" s="16">
        <v>413000</v>
      </c>
      <c r="H163" s="16">
        <v>434125</v>
      </c>
      <c r="I163" s="16">
        <v>555500</v>
      </c>
      <c r="J163" s="16">
        <v>515313</v>
      </c>
      <c r="K163" s="16">
        <v>384000</v>
      </c>
      <c r="L163" s="16">
        <v>1330251</v>
      </c>
      <c r="M163" s="16">
        <v>583000</v>
      </c>
      <c r="N163" s="16">
        <v>967738</v>
      </c>
      <c r="O163" s="16">
        <v>1104363</v>
      </c>
      <c r="P163" s="16">
        <v>802000</v>
      </c>
      <c r="Q163" s="16">
        <v>875313</v>
      </c>
      <c r="R163" s="16">
        <v>682125</v>
      </c>
      <c r="S163" s="16">
        <v>786000</v>
      </c>
    </row>
    <row r="164" spans="1:19" ht="10.9" customHeight="1" x14ac:dyDescent="0.2">
      <c r="F164" s="12" t="s">
        <v>167</v>
      </c>
      <c r="G164" s="16">
        <v>28000</v>
      </c>
      <c r="H164" s="16">
        <v>65000</v>
      </c>
      <c r="I164" s="16">
        <v>30000</v>
      </c>
      <c r="J164" s="16">
        <v>586000</v>
      </c>
      <c r="K164" s="16">
        <v>80000</v>
      </c>
      <c r="L164" s="16">
        <v>0</v>
      </c>
      <c r="M164" s="16">
        <v>0</v>
      </c>
      <c r="N164" s="16">
        <v>124000</v>
      </c>
      <c r="O164" s="16">
        <v>30000</v>
      </c>
      <c r="P164" s="16">
        <v>30000</v>
      </c>
      <c r="Q164" s="16">
        <v>34000</v>
      </c>
      <c r="R164" s="16">
        <v>30000</v>
      </c>
      <c r="S164" s="16">
        <v>62000</v>
      </c>
    </row>
    <row r="165" spans="1:19" ht="10.9" customHeight="1" x14ac:dyDescent="0.2">
      <c r="F165" s="12" t="s">
        <v>168</v>
      </c>
      <c r="G165" s="16">
        <v>435000</v>
      </c>
      <c r="H165" s="16">
        <v>400000</v>
      </c>
      <c r="I165" s="16">
        <v>500000</v>
      </c>
      <c r="J165" s="16">
        <v>400000</v>
      </c>
      <c r="K165" s="16">
        <v>700000</v>
      </c>
      <c r="L165" s="16">
        <v>200000</v>
      </c>
      <c r="M165" s="16">
        <v>410000</v>
      </c>
      <c r="N165" s="16">
        <v>500000</v>
      </c>
      <c r="O165" s="16">
        <v>400000</v>
      </c>
      <c r="P165" s="16">
        <v>400000</v>
      </c>
      <c r="Q165" s="16">
        <v>500000</v>
      </c>
      <c r="R165" s="16">
        <v>400000</v>
      </c>
      <c r="S165" s="16">
        <v>400000</v>
      </c>
    </row>
    <row r="166" spans="1:19" ht="10.9" customHeight="1" x14ac:dyDescent="0.2">
      <c r="F166" s="13" t="s">
        <v>169</v>
      </c>
      <c r="G166" s="17">
        <f t="shared" ref="G166:S166" si="26">SUM(G154:G165)</f>
        <v>31304160.370000001</v>
      </c>
      <c r="H166" s="17">
        <f t="shared" si="26"/>
        <v>42148805.810000002</v>
      </c>
      <c r="I166" s="17">
        <f t="shared" si="26"/>
        <v>50006345.049999997</v>
      </c>
      <c r="J166" s="17">
        <f t="shared" si="26"/>
        <v>166025923.59999996</v>
      </c>
      <c r="K166" s="17">
        <f t="shared" si="26"/>
        <v>29609983.109999999</v>
      </c>
      <c r="L166" s="17">
        <f t="shared" si="26"/>
        <v>44967740.990000002</v>
      </c>
      <c r="M166" s="17">
        <f t="shared" si="26"/>
        <v>45612865.960000001</v>
      </c>
      <c r="N166" s="17">
        <f t="shared" si="26"/>
        <v>66949549.629999995</v>
      </c>
      <c r="O166" s="17">
        <f t="shared" si="26"/>
        <v>48324544.700000003</v>
      </c>
      <c r="P166" s="17">
        <f t="shared" si="26"/>
        <v>30055558.719999999</v>
      </c>
      <c r="Q166" s="17">
        <f t="shared" si="26"/>
        <v>32738422.479999997</v>
      </c>
      <c r="R166" s="17">
        <f t="shared" si="26"/>
        <v>18884805.869999997</v>
      </c>
      <c r="S166" s="17">
        <f t="shared" si="26"/>
        <v>20822004.300000001</v>
      </c>
    </row>
    <row r="167" spans="1:19" ht="10.9" customHeight="1" x14ac:dyDescent="0.2">
      <c r="A167" s="11"/>
      <c r="B167" s="11"/>
      <c r="C167" s="11"/>
      <c r="D167" s="11"/>
      <c r="E167" s="11"/>
      <c r="F167" s="11" t="s">
        <v>170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1:19" ht="10.9" customHeight="1" x14ac:dyDescent="0.2">
      <c r="F168" s="12" t="s">
        <v>171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29000</v>
      </c>
      <c r="S168" s="16">
        <v>0</v>
      </c>
    </row>
    <row r="169" spans="1:19" ht="10.9" customHeight="1" x14ac:dyDescent="0.2">
      <c r="F169" s="12" t="s">
        <v>172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14000</v>
      </c>
      <c r="N169" s="16">
        <v>0</v>
      </c>
      <c r="O169" s="16">
        <v>0</v>
      </c>
      <c r="P169" s="16">
        <v>77272</v>
      </c>
      <c r="Q169" s="16">
        <v>14000</v>
      </c>
      <c r="R169" s="16">
        <v>0</v>
      </c>
      <c r="S169" s="16">
        <v>10800</v>
      </c>
    </row>
    <row r="170" spans="1:19" ht="10.9" customHeight="1" x14ac:dyDescent="0.2">
      <c r="F170" s="12" t="s">
        <v>173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368550</v>
      </c>
      <c r="R170" s="16">
        <v>0</v>
      </c>
      <c r="S170" s="16">
        <v>0</v>
      </c>
    </row>
    <row r="171" spans="1:19" ht="10.9" customHeight="1" x14ac:dyDescent="0.2">
      <c r="F171" s="12" t="s">
        <v>174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493000</v>
      </c>
      <c r="Q171" s="16">
        <v>0</v>
      </c>
      <c r="R171" s="16">
        <v>0</v>
      </c>
      <c r="S171" s="16">
        <v>0</v>
      </c>
    </row>
    <row r="172" spans="1:19" ht="10.9" customHeight="1" x14ac:dyDescent="0.2">
      <c r="F172" s="12" t="s">
        <v>175</v>
      </c>
      <c r="G172" s="16">
        <v>0</v>
      </c>
      <c r="H172" s="16">
        <v>0</v>
      </c>
      <c r="I172" s="16">
        <v>70000</v>
      </c>
      <c r="J172" s="16">
        <v>12000</v>
      </c>
      <c r="K172" s="16">
        <v>30000</v>
      </c>
      <c r="L172" s="16">
        <v>62000</v>
      </c>
      <c r="M172" s="16">
        <v>60000</v>
      </c>
      <c r="N172" s="16">
        <v>60000</v>
      </c>
      <c r="O172" s="16">
        <v>24000</v>
      </c>
      <c r="P172" s="16">
        <v>49000</v>
      </c>
      <c r="Q172" s="16">
        <v>30000</v>
      </c>
      <c r="R172" s="16">
        <v>30000</v>
      </c>
      <c r="S172" s="16">
        <v>0</v>
      </c>
    </row>
    <row r="173" spans="1:19" ht="10.9" customHeight="1" x14ac:dyDescent="0.2">
      <c r="F173" s="12" t="s">
        <v>176</v>
      </c>
      <c r="G173" s="16">
        <v>5000000</v>
      </c>
      <c r="H173" s="16">
        <v>248175</v>
      </c>
      <c r="I173" s="16">
        <v>0</v>
      </c>
      <c r="J173" s="16">
        <v>0</v>
      </c>
      <c r="K173" s="16">
        <v>776050</v>
      </c>
      <c r="L173" s="16">
        <v>1416245</v>
      </c>
      <c r="M173" s="16">
        <v>494016</v>
      </c>
      <c r="N173" s="16">
        <v>0</v>
      </c>
      <c r="O173" s="16">
        <v>0</v>
      </c>
      <c r="P173" s="16">
        <v>133215</v>
      </c>
      <c r="Q173" s="16">
        <v>861540</v>
      </c>
      <c r="R173" s="16">
        <v>395080</v>
      </c>
      <c r="S173" s="16">
        <v>0</v>
      </c>
    </row>
    <row r="174" spans="1:19" ht="10.9" customHeight="1" x14ac:dyDescent="0.2">
      <c r="F174" s="13" t="s">
        <v>177</v>
      </c>
      <c r="G174" s="17">
        <f t="shared" ref="G174:S174" si="27">SUM(G168:G173)</f>
        <v>5000000</v>
      </c>
      <c r="H174" s="17">
        <f t="shared" si="27"/>
        <v>248175</v>
      </c>
      <c r="I174" s="17">
        <f t="shared" si="27"/>
        <v>70000</v>
      </c>
      <c r="J174" s="17">
        <f t="shared" si="27"/>
        <v>12000</v>
      </c>
      <c r="K174" s="17">
        <f t="shared" si="27"/>
        <v>806050</v>
      </c>
      <c r="L174" s="17">
        <f t="shared" si="27"/>
        <v>1478245</v>
      </c>
      <c r="M174" s="17">
        <f t="shared" si="27"/>
        <v>568016</v>
      </c>
      <c r="N174" s="17">
        <f t="shared" si="27"/>
        <v>60000</v>
      </c>
      <c r="O174" s="17">
        <f t="shared" si="27"/>
        <v>24000</v>
      </c>
      <c r="P174" s="17">
        <f t="shared" si="27"/>
        <v>752487</v>
      </c>
      <c r="Q174" s="17">
        <f t="shared" si="27"/>
        <v>1274090</v>
      </c>
      <c r="R174" s="17">
        <f t="shared" si="27"/>
        <v>454080</v>
      </c>
      <c r="S174" s="17">
        <f t="shared" si="27"/>
        <v>10800</v>
      </c>
    </row>
    <row r="175" spans="1:19" ht="10.9" customHeight="1" x14ac:dyDescent="0.2">
      <c r="A175" s="11"/>
      <c r="B175" s="11"/>
      <c r="C175" s="11"/>
      <c r="D175" s="11"/>
      <c r="E175" s="11"/>
      <c r="F175" s="11" t="s">
        <v>178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1:19" ht="10.9" customHeight="1" x14ac:dyDescent="0.2">
      <c r="F176" s="12" t="s">
        <v>179</v>
      </c>
      <c r="G176" s="16">
        <v>0</v>
      </c>
      <c r="H176" s="16">
        <v>2052450</v>
      </c>
      <c r="I176" s="16">
        <v>446736</v>
      </c>
      <c r="J176" s="16">
        <v>0</v>
      </c>
      <c r="K176" s="16">
        <v>143000</v>
      </c>
      <c r="L176" s="16">
        <v>546451</v>
      </c>
      <c r="M176" s="16">
        <v>63200</v>
      </c>
      <c r="N176" s="16">
        <v>443500</v>
      </c>
      <c r="O176" s="16">
        <v>1822714.29</v>
      </c>
      <c r="P176" s="16">
        <v>0</v>
      </c>
      <c r="Q176" s="16">
        <v>0</v>
      </c>
      <c r="R176" s="16">
        <v>0</v>
      </c>
      <c r="S176" s="16">
        <v>1422000</v>
      </c>
    </row>
    <row r="177" spans="1:19" ht="10.9" customHeight="1" x14ac:dyDescent="0.2">
      <c r="F177" s="12" t="s">
        <v>180</v>
      </c>
      <c r="G177" s="16">
        <v>0</v>
      </c>
      <c r="H177" s="16">
        <v>120000</v>
      </c>
      <c r="I177" s="16">
        <v>0</v>
      </c>
      <c r="J177" s="16">
        <v>0</v>
      </c>
      <c r="K177" s="16">
        <v>0</v>
      </c>
      <c r="L177" s="16">
        <v>54313</v>
      </c>
      <c r="M177" s="16">
        <v>65000</v>
      </c>
      <c r="N177" s="16">
        <v>0</v>
      </c>
      <c r="O177" s="16">
        <v>0</v>
      </c>
      <c r="P177" s="16">
        <v>0</v>
      </c>
      <c r="Q177" s="16">
        <v>0</v>
      </c>
      <c r="R177" s="16">
        <v>45000</v>
      </c>
      <c r="S177" s="16">
        <v>0</v>
      </c>
    </row>
    <row r="178" spans="1:19" ht="10.9" customHeight="1" x14ac:dyDescent="0.2">
      <c r="F178" s="12" t="s">
        <v>181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105500</v>
      </c>
    </row>
    <row r="179" spans="1:19" ht="10.9" customHeight="1" x14ac:dyDescent="0.2">
      <c r="F179" s="12" t="s">
        <v>182</v>
      </c>
      <c r="G179" s="16">
        <v>0</v>
      </c>
      <c r="H179" s="16">
        <v>0</v>
      </c>
      <c r="I179" s="16">
        <v>0</v>
      </c>
      <c r="J179" s="16">
        <v>0</v>
      </c>
      <c r="K179" s="16">
        <v>250000</v>
      </c>
      <c r="L179" s="16">
        <v>0</v>
      </c>
      <c r="M179" s="16">
        <v>0</v>
      </c>
      <c r="N179" s="16">
        <v>0</v>
      </c>
      <c r="O179" s="16">
        <v>0</v>
      </c>
      <c r="P179" s="16">
        <v>50000</v>
      </c>
      <c r="Q179" s="16">
        <v>0</v>
      </c>
      <c r="R179" s="16">
        <v>57000</v>
      </c>
      <c r="S179" s="16">
        <v>0</v>
      </c>
    </row>
    <row r="180" spans="1:19" ht="10.9" customHeight="1" x14ac:dyDescent="0.2">
      <c r="F180" s="12" t="s">
        <v>183</v>
      </c>
      <c r="G180" s="16">
        <v>0</v>
      </c>
      <c r="H180" s="16">
        <v>0</v>
      </c>
      <c r="I180" s="16">
        <v>0</v>
      </c>
      <c r="J180" s="16">
        <v>0</v>
      </c>
      <c r="K180" s="16">
        <v>88333.34</v>
      </c>
      <c r="L180" s="16">
        <v>750000</v>
      </c>
      <c r="M180" s="16">
        <v>1888081</v>
      </c>
      <c r="N180" s="16">
        <v>2730000</v>
      </c>
      <c r="O180" s="16">
        <v>2089000</v>
      </c>
      <c r="P180" s="16">
        <v>1393092</v>
      </c>
      <c r="Q180" s="16">
        <v>418500</v>
      </c>
      <c r="R180" s="16">
        <v>668100</v>
      </c>
      <c r="S180" s="16">
        <v>1042500</v>
      </c>
    </row>
    <row r="181" spans="1:19" ht="10.9" customHeight="1" x14ac:dyDescent="0.2">
      <c r="F181" s="12" t="s">
        <v>184</v>
      </c>
      <c r="G181" s="16">
        <v>36430459</v>
      </c>
      <c r="H181" s="16">
        <v>36430459</v>
      </c>
      <c r="I181" s="16">
        <v>36430459</v>
      </c>
      <c r="J181" s="16">
        <v>40406628</v>
      </c>
      <c r="K181" s="16">
        <v>21740318</v>
      </c>
      <c r="L181" s="16">
        <v>15247959</v>
      </c>
      <c r="M181" s="16">
        <v>15358827.949999999</v>
      </c>
      <c r="N181" s="16">
        <v>14497959</v>
      </c>
      <c r="O181" s="16">
        <v>14833075.51</v>
      </c>
      <c r="P181" s="16">
        <v>14335438.779999999</v>
      </c>
      <c r="Q181" s="16">
        <v>13532938.779999999</v>
      </c>
      <c r="R181" s="16">
        <v>13532938.779999999</v>
      </c>
      <c r="S181" s="16">
        <v>13532938.779999999</v>
      </c>
    </row>
    <row r="182" spans="1:19" ht="10.9" customHeight="1" x14ac:dyDescent="0.2">
      <c r="F182" s="13" t="s">
        <v>185</v>
      </c>
      <c r="G182" s="17">
        <f t="shared" ref="G182:S182" si="28">SUM(G176:G181)</f>
        <v>36430459</v>
      </c>
      <c r="H182" s="17">
        <f t="shared" si="28"/>
        <v>38602909</v>
      </c>
      <c r="I182" s="17">
        <f t="shared" si="28"/>
        <v>36877195</v>
      </c>
      <c r="J182" s="17">
        <f t="shared" si="28"/>
        <v>40406628</v>
      </c>
      <c r="K182" s="17">
        <f t="shared" si="28"/>
        <v>22221651.34</v>
      </c>
      <c r="L182" s="17">
        <f t="shared" si="28"/>
        <v>16598723</v>
      </c>
      <c r="M182" s="17">
        <f t="shared" si="28"/>
        <v>17375108.949999999</v>
      </c>
      <c r="N182" s="17">
        <f t="shared" si="28"/>
        <v>17671459</v>
      </c>
      <c r="O182" s="17">
        <f t="shared" si="28"/>
        <v>18744789.800000001</v>
      </c>
      <c r="P182" s="17">
        <f t="shared" si="28"/>
        <v>15778530.779999999</v>
      </c>
      <c r="Q182" s="17">
        <f t="shared" si="28"/>
        <v>13951438.779999999</v>
      </c>
      <c r="R182" s="17">
        <f t="shared" si="28"/>
        <v>14303038.779999999</v>
      </c>
      <c r="S182" s="17">
        <f t="shared" si="28"/>
        <v>16102938.779999999</v>
      </c>
    </row>
    <row r="183" spans="1:19" ht="10.9" customHeight="1" x14ac:dyDescent="0.2">
      <c r="E183" s="13" t="s">
        <v>155</v>
      </c>
      <c r="G183" s="17">
        <f t="shared" ref="G183:S183" si="29">(0 + (((G152 + G166) + G174) + G182))</f>
        <v>80555316.370000005</v>
      </c>
      <c r="H183" s="17">
        <f t="shared" si="29"/>
        <v>89226764.810000002</v>
      </c>
      <c r="I183" s="17">
        <f t="shared" si="29"/>
        <v>176010849.05000001</v>
      </c>
      <c r="J183" s="17">
        <f t="shared" si="29"/>
        <v>215353974.99999997</v>
      </c>
      <c r="K183" s="17">
        <f t="shared" si="29"/>
        <v>65962630.75</v>
      </c>
      <c r="L183" s="17">
        <f t="shared" si="29"/>
        <v>73219500.849999994</v>
      </c>
      <c r="M183" s="17">
        <f t="shared" si="29"/>
        <v>97175069.310000017</v>
      </c>
      <c r="N183" s="17">
        <f t="shared" si="29"/>
        <v>97540691.590000004</v>
      </c>
      <c r="O183" s="17">
        <f t="shared" si="29"/>
        <v>87903205.600000009</v>
      </c>
      <c r="P183" s="17">
        <f t="shared" si="29"/>
        <v>69215240.899999991</v>
      </c>
      <c r="Q183" s="17">
        <f t="shared" si="29"/>
        <v>75558909.859999999</v>
      </c>
      <c r="R183" s="17">
        <f t="shared" si="29"/>
        <v>41738011.75</v>
      </c>
      <c r="S183" s="17">
        <f t="shared" si="29"/>
        <v>48013031.68</v>
      </c>
    </row>
    <row r="184" spans="1:19" ht="10.9" customHeight="1" x14ac:dyDescent="0.2">
      <c r="A184" s="11"/>
      <c r="B184" s="11"/>
      <c r="C184" s="11"/>
      <c r="D184" s="11"/>
      <c r="E184" s="11" t="s">
        <v>186</v>
      </c>
      <c r="F184" s="11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1:19" ht="10.9" customHeight="1" x14ac:dyDescent="0.2">
      <c r="A185" s="11"/>
      <c r="B185" s="11"/>
      <c r="C185" s="11"/>
      <c r="D185" s="11"/>
      <c r="E185" s="11"/>
      <c r="F185" s="11" t="s">
        <v>187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1:19" ht="10.9" customHeight="1" x14ac:dyDescent="0.2">
      <c r="F186" s="12" t="s">
        <v>188</v>
      </c>
      <c r="G186" s="16">
        <v>0</v>
      </c>
      <c r="H186" s="16">
        <v>1388404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494666.67</v>
      </c>
      <c r="O186" s="16">
        <v>0</v>
      </c>
      <c r="P186" s="16">
        <v>4180194</v>
      </c>
      <c r="Q186" s="16">
        <v>2525000</v>
      </c>
      <c r="R186" s="16">
        <v>0</v>
      </c>
      <c r="S186" s="16">
        <v>675000</v>
      </c>
    </row>
    <row r="187" spans="1:19" ht="10.9" customHeight="1" x14ac:dyDescent="0.2">
      <c r="F187" s="12" t="s">
        <v>189</v>
      </c>
      <c r="G187" s="16">
        <v>6784741</v>
      </c>
      <c r="H187" s="16">
        <v>17730865</v>
      </c>
      <c r="I187" s="16">
        <v>6862221</v>
      </c>
      <c r="J187" s="16">
        <v>6828016</v>
      </c>
      <c r="K187" s="16">
        <v>15707149.67</v>
      </c>
      <c r="L187" s="16">
        <v>32134236.5</v>
      </c>
      <c r="M187" s="16">
        <v>26636146.329999998</v>
      </c>
      <c r="N187" s="16">
        <v>14215726</v>
      </c>
      <c r="O187" s="16">
        <v>32183052.350000001</v>
      </c>
      <c r="P187" s="16">
        <v>9298504</v>
      </c>
      <c r="Q187" s="16">
        <v>3389014</v>
      </c>
      <c r="R187" s="16">
        <v>4802113</v>
      </c>
      <c r="S187" s="16">
        <v>4296490</v>
      </c>
    </row>
    <row r="188" spans="1:19" ht="10.9" customHeight="1" x14ac:dyDescent="0.2">
      <c r="F188" s="12" t="s">
        <v>190</v>
      </c>
      <c r="G188" s="16">
        <v>3540000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</row>
    <row r="189" spans="1:19" ht="10.9" customHeight="1" x14ac:dyDescent="0.2">
      <c r="F189" s="12" t="s">
        <v>191</v>
      </c>
      <c r="G189" s="16">
        <v>0</v>
      </c>
      <c r="H189" s="16">
        <v>0</v>
      </c>
      <c r="I189" s="16">
        <v>300000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</row>
    <row r="190" spans="1:19" ht="10.9" customHeight="1" x14ac:dyDescent="0.2">
      <c r="F190" s="12" t="s">
        <v>192</v>
      </c>
      <c r="G190" s="16">
        <v>658513</v>
      </c>
      <c r="H190" s="16">
        <v>324013</v>
      </c>
      <c r="I190" s="16">
        <v>239763</v>
      </c>
      <c r="J190" s="16">
        <v>139463</v>
      </c>
      <c r="K190" s="16">
        <v>194901</v>
      </c>
      <c r="L190" s="16">
        <v>583677</v>
      </c>
      <c r="M190" s="16">
        <v>204251</v>
      </c>
      <c r="N190" s="16">
        <v>335064</v>
      </c>
      <c r="O190" s="16">
        <v>247752</v>
      </c>
      <c r="P190" s="16">
        <v>283201</v>
      </c>
      <c r="Q190" s="16">
        <v>275302</v>
      </c>
      <c r="R190" s="16">
        <v>223750</v>
      </c>
      <c r="S190" s="16">
        <v>163125</v>
      </c>
    </row>
    <row r="191" spans="1:19" ht="10.9" customHeight="1" x14ac:dyDescent="0.2">
      <c r="F191" s="12" t="s">
        <v>193</v>
      </c>
      <c r="G191" s="16">
        <v>1903333.34</v>
      </c>
      <c r="H191" s="16">
        <v>1742500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364000</v>
      </c>
      <c r="P191" s="16">
        <v>0</v>
      </c>
      <c r="Q191" s="16">
        <v>0</v>
      </c>
      <c r="R191" s="16">
        <v>5570000</v>
      </c>
      <c r="S191" s="16">
        <v>0</v>
      </c>
    </row>
    <row r="192" spans="1:19" ht="10.9" customHeight="1" x14ac:dyDescent="0.2">
      <c r="F192" s="13" t="s">
        <v>194</v>
      </c>
      <c r="G192" s="17">
        <f t="shared" ref="G192:S192" si="30">SUM(G186:G191)</f>
        <v>12886587.34</v>
      </c>
      <c r="H192" s="17">
        <f t="shared" si="30"/>
        <v>21185782</v>
      </c>
      <c r="I192" s="17">
        <f t="shared" si="30"/>
        <v>7401984</v>
      </c>
      <c r="J192" s="17">
        <f t="shared" si="30"/>
        <v>6967479</v>
      </c>
      <c r="K192" s="17">
        <f t="shared" si="30"/>
        <v>15902050.67</v>
      </c>
      <c r="L192" s="17">
        <f t="shared" si="30"/>
        <v>32717913.5</v>
      </c>
      <c r="M192" s="17">
        <f t="shared" si="30"/>
        <v>26840397.329999998</v>
      </c>
      <c r="N192" s="17">
        <f t="shared" si="30"/>
        <v>15045456.67</v>
      </c>
      <c r="O192" s="17">
        <f t="shared" si="30"/>
        <v>32794804.350000001</v>
      </c>
      <c r="P192" s="17">
        <f t="shared" si="30"/>
        <v>13761899</v>
      </c>
      <c r="Q192" s="17">
        <f t="shared" si="30"/>
        <v>6189316</v>
      </c>
      <c r="R192" s="17">
        <f t="shared" si="30"/>
        <v>10595863</v>
      </c>
      <c r="S192" s="17">
        <f t="shared" si="30"/>
        <v>5134615</v>
      </c>
    </row>
    <row r="193" spans="1:19" ht="10.9" customHeight="1" x14ac:dyDescent="0.2">
      <c r="A193" s="11"/>
      <c r="B193" s="11"/>
      <c r="C193" s="11"/>
      <c r="D193" s="11"/>
      <c r="E193" s="11"/>
      <c r="F193" s="11" t="s">
        <v>195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1:19" ht="10.9" customHeight="1" x14ac:dyDescent="0.2">
      <c r="F194" s="12" t="s">
        <v>196</v>
      </c>
      <c r="G194" s="16">
        <v>6600000</v>
      </c>
      <c r="H194" s="16">
        <v>3040000</v>
      </c>
      <c r="I194" s="16">
        <v>8800000</v>
      </c>
      <c r="J194" s="16">
        <v>4925000</v>
      </c>
      <c r="K194" s="16">
        <v>0</v>
      </c>
      <c r="L194" s="16">
        <v>12195000</v>
      </c>
      <c r="M194" s="16">
        <v>12050000</v>
      </c>
      <c r="N194" s="16">
        <v>9840000</v>
      </c>
      <c r="O194" s="16">
        <v>690000</v>
      </c>
      <c r="P194" s="16">
        <v>7955000</v>
      </c>
      <c r="Q194" s="16">
        <v>0</v>
      </c>
      <c r="R194" s="16">
        <v>10645000</v>
      </c>
      <c r="S194" s="16">
        <v>7650000</v>
      </c>
    </row>
    <row r="195" spans="1:19" ht="10.9" customHeight="1" x14ac:dyDescent="0.2">
      <c r="F195" s="12" t="s">
        <v>197</v>
      </c>
      <c r="G195" s="16">
        <v>0</v>
      </c>
      <c r="H195" s="16">
        <v>2372333.34</v>
      </c>
      <c r="I195" s="16">
        <v>0</v>
      </c>
      <c r="J195" s="16">
        <v>0</v>
      </c>
      <c r="K195" s="16">
        <v>3279412.5</v>
      </c>
      <c r="L195" s="16">
        <v>0</v>
      </c>
      <c r="M195" s="16">
        <v>0</v>
      </c>
      <c r="N195" s="16">
        <v>0</v>
      </c>
      <c r="O195" s="16">
        <v>0</v>
      </c>
      <c r="P195" s="16">
        <v>3850000</v>
      </c>
      <c r="Q195" s="16">
        <v>0</v>
      </c>
      <c r="R195" s="16">
        <v>1741075.66</v>
      </c>
      <c r="S195" s="16">
        <v>0</v>
      </c>
    </row>
    <row r="196" spans="1:19" ht="10.9" customHeight="1" x14ac:dyDescent="0.2">
      <c r="F196" s="12" t="s">
        <v>198</v>
      </c>
      <c r="G196" s="16">
        <v>0</v>
      </c>
      <c r="H196" s="16">
        <v>0</v>
      </c>
      <c r="I196" s="16">
        <v>0</v>
      </c>
      <c r="J196" s="16">
        <v>219500</v>
      </c>
      <c r="K196" s="16">
        <v>4526200</v>
      </c>
      <c r="L196" s="16">
        <v>1250000</v>
      </c>
      <c r="M196" s="16">
        <v>1990400</v>
      </c>
      <c r="N196" s="16">
        <v>600000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</row>
    <row r="197" spans="1:19" ht="10.9" customHeight="1" x14ac:dyDescent="0.2">
      <c r="F197" s="12" t="s">
        <v>199</v>
      </c>
      <c r="G197" s="16">
        <v>1902000</v>
      </c>
      <c r="H197" s="16">
        <v>2800000</v>
      </c>
      <c r="I197" s="16">
        <v>8079183</v>
      </c>
      <c r="J197" s="16">
        <v>0</v>
      </c>
      <c r="K197" s="16">
        <v>1100000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505000</v>
      </c>
      <c r="S197" s="16">
        <v>460000</v>
      </c>
    </row>
    <row r="198" spans="1:19" ht="10.9" customHeight="1" x14ac:dyDescent="0.2">
      <c r="F198" s="12" t="s">
        <v>200</v>
      </c>
      <c r="G198" s="16">
        <v>643333.32999999996</v>
      </c>
      <c r="H198" s="16">
        <v>1182500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3970000</v>
      </c>
      <c r="S198" s="16">
        <v>0</v>
      </c>
    </row>
    <row r="199" spans="1:19" ht="10.9" customHeight="1" x14ac:dyDescent="0.2">
      <c r="F199" s="12" t="s">
        <v>201</v>
      </c>
      <c r="G199" s="16">
        <v>2017164</v>
      </c>
      <c r="H199" s="16">
        <v>1469416</v>
      </c>
      <c r="I199" s="16">
        <v>670166</v>
      </c>
      <c r="J199" s="16">
        <v>1883325</v>
      </c>
      <c r="K199" s="16">
        <v>2594360</v>
      </c>
      <c r="L199" s="16">
        <v>1316045</v>
      </c>
      <c r="M199" s="16">
        <v>3311796</v>
      </c>
      <c r="N199" s="16">
        <v>1865792</v>
      </c>
      <c r="O199" s="16">
        <v>1193845</v>
      </c>
      <c r="P199" s="16">
        <v>586569</v>
      </c>
      <c r="Q199" s="16">
        <v>1395311</v>
      </c>
      <c r="R199" s="16">
        <v>1877603</v>
      </c>
      <c r="S199" s="16">
        <v>3026639</v>
      </c>
    </row>
    <row r="200" spans="1:19" ht="10.9" customHeight="1" x14ac:dyDescent="0.2">
      <c r="F200" s="12" t="s">
        <v>202</v>
      </c>
      <c r="G200" s="16">
        <v>4758300</v>
      </c>
      <c r="H200" s="16">
        <v>2350000</v>
      </c>
      <c r="I200" s="16">
        <v>974700</v>
      </c>
      <c r="J200" s="16">
        <v>140359503.33000001</v>
      </c>
      <c r="K200" s="16">
        <v>550000</v>
      </c>
      <c r="L200" s="16">
        <v>0</v>
      </c>
      <c r="M200" s="16">
        <v>9025240</v>
      </c>
      <c r="N200" s="16">
        <v>2329505</v>
      </c>
      <c r="O200" s="16">
        <v>4605500</v>
      </c>
      <c r="P200" s="16">
        <v>18371700</v>
      </c>
      <c r="Q200" s="16">
        <v>14279532.949999999</v>
      </c>
      <c r="R200" s="16">
        <v>20413120</v>
      </c>
      <c r="S200" s="16">
        <v>4493800</v>
      </c>
    </row>
    <row r="201" spans="1:19" ht="10.9" customHeight="1" x14ac:dyDescent="0.2">
      <c r="F201" s="12" t="s">
        <v>203</v>
      </c>
      <c r="G201" s="16">
        <v>84000</v>
      </c>
      <c r="H201" s="16">
        <v>1600000</v>
      </c>
      <c r="I201" s="16">
        <v>48000</v>
      </c>
      <c r="J201" s="16">
        <v>108000</v>
      </c>
      <c r="K201" s="16">
        <v>910000</v>
      </c>
      <c r="L201" s="16">
        <v>298000</v>
      </c>
      <c r="M201" s="16">
        <v>394000</v>
      </c>
      <c r="N201" s="16">
        <v>333666.67</v>
      </c>
      <c r="O201" s="16">
        <v>96000</v>
      </c>
      <c r="P201" s="16">
        <v>134000</v>
      </c>
      <c r="Q201" s="16">
        <v>84000</v>
      </c>
      <c r="R201" s="16">
        <v>0</v>
      </c>
      <c r="S201" s="16">
        <v>0</v>
      </c>
    </row>
    <row r="202" spans="1:19" ht="10.9" customHeight="1" x14ac:dyDescent="0.2">
      <c r="F202" s="12" t="s">
        <v>204</v>
      </c>
      <c r="G202" s="16">
        <v>4330940</v>
      </c>
      <c r="H202" s="16">
        <v>5741850</v>
      </c>
      <c r="I202" s="16">
        <v>2988113</v>
      </c>
      <c r="J202" s="16">
        <v>11353000</v>
      </c>
      <c r="K202" s="16">
        <v>13738111.67</v>
      </c>
      <c r="L202" s="16">
        <v>9804500</v>
      </c>
      <c r="M202" s="16">
        <v>6056808</v>
      </c>
      <c r="N202" s="16">
        <v>5226466.67</v>
      </c>
      <c r="O202" s="16">
        <v>17983550</v>
      </c>
      <c r="P202" s="16">
        <v>1924416.67</v>
      </c>
      <c r="Q202" s="16">
        <v>12728167.25</v>
      </c>
      <c r="R202" s="16">
        <v>6910301.6699999999</v>
      </c>
      <c r="S202" s="16">
        <v>3614829</v>
      </c>
    </row>
    <row r="203" spans="1:19" ht="10.9" customHeight="1" x14ac:dyDescent="0.2">
      <c r="F203" s="12" t="s">
        <v>205</v>
      </c>
      <c r="G203" s="16">
        <v>4353003</v>
      </c>
      <c r="H203" s="16">
        <v>4866177</v>
      </c>
      <c r="I203" s="16">
        <v>2236848.67</v>
      </c>
      <c r="J203" s="16">
        <v>1010670</v>
      </c>
      <c r="K203" s="16">
        <v>2601493.34</v>
      </c>
      <c r="L203" s="16">
        <v>19598322</v>
      </c>
      <c r="M203" s="16">
        <v>4903367</v>
      </c>
      <c r="N203" s="16">
        <v>8361543.6699999999</v>
      </c>
      <c r="O203" s="16">
        <v>5686527</v>
      </c>
      <c r="P203" s="16">
        <v>2093007</v>
      </c>
      <c r="Q203" s="16">
        <v>2717752</v>
      </c>
      <c r="R203" s="16">
        <v>9846082</v>
      </c>
      <c r="S203" s="16">
        <v>2144334</v>
      </c>
    </row>
    <row r="204" spans="1:19" ht="10.9" customHeight="1" x14ac:dyDescent="0.2">
      <c r="F204" s="12" t="s">
        <v>206</v>
      </c>
      <c r="G204" s="16">
        <v>0</v>
      </c>
      <c r="H204" s="16">
        <v>0</v>
      </c>
      <c r="I204" s="16">
        <v>0</v>
      </c>
      <c r="J204" s="16">
        <v>0</v>
      </c>
      <c r="K204" s="16">
        <v>4031919</v>
      </c>
      <c r="L204" s="16">
        <v>3228581</v>
      </c>
      <c r="M204" s="16">
        <v>0</v>
      </c>
      <c r="N204" s="16">
        <v>0</v>
      </c>
      <c r="O204" s="16">
        <v>0</v>
      </c>
      <c r="P204" s="16">
        <v>100000</v>
      </c>
      <c r="Q204" s="16">
        <v>0</v>
      </c>
      <c r="R204" s="16">
        <v>0</v>
      </c>
      <c r="S204" s="16">
        <v>4990185</v>
      </c>
    </row>
    <row r="205" spans="1:19" ht="10.9" customHeight="1" x14ac:dyDescent="0.2">
      <c r="F205" s="12" t="s">
        <v>207</v>
      </c>
      <c r="G205" s="16">
        <v>8700000</v>
      </c>
      <c r="H205" s="16">
        <v>8100000</v>
      </c>
      <c r="I205" s="16">
        <v>0</v>
      </c>
      <c r="J205" s="16">
        <v>0</v>
      </c>
      <c r="K205" s="16">
        <v>29135000</v>
      </c>
      <c r="L205" s="16">
        <v>7000000</v>
      </c>
      <c r="M205" s="16">
        <v>28100000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4972000</v>
      </c>
    </row>
    <row r="206" spans="1:19" ht="10.9" customHeight="1" x14ac:dyDescent="0.2">
      <c r="F206" s="12" t="s">
        <v>208</v>
      </c>
      <c r="G206" s="16">
        <v>0</v>
      </c>
      <c r="H206" s="16">
        <v>0</v>
      </c>
      <c r="I206" s="16">
        <v>0</v>
      </c>
      <c r="J206" s="16">
        <v>4553313.92</v>
      </c>
      <c r="K206" s="16">
        <v>4553313.92</v>
      </c>
      <c r="L206" s="16">
        <v>4553313.92</v>
      </c>
      <c r="M206" s="16">
        <v>4553313.92</v>
      </c>
      <c r="N206" s="16">
        <v>4639980.59</v>
      </c>
      <c r="O206" s="16">
        <v>4639980.59</v>
      </c>
      <c r="P206" s="16">
        <v>4639980.59</v>
      </c>
      <c r="Q206" s="16">
        <v>4639980.59</v>
      </c>
      <c r="R206" s="16">
        <v>4639980.59</v>
      </c>
      <c r="S206" s="16">
        <v>4639980.59</v>
      </c>
    </row>
    <row r="207" spans="1:19" ht="10.9" customHeight="1" x14ac:dyDescent="0.2">
      <c r="F207" s="12" t="s">
        <v>209</v>
      </c>
      <c r="G207" s="16">
        <v>1900000</v>
      </c>
      <c r="H207" s="16">
        <v>6454526</v>
      </c>
      <c r="I207" s="16">
        <v>2905250</v>
      </c>
      <c r="J207" s="16">
        <v>0</v>
      </c>
      <c r="K207" s="16">
        <v>3108166.66</v>
      </c>
      <c r="L207" s="16">
        <v>6950000</v>
      </c>
      <c r="M207" s="16">
        <v>0</v>
      </c>
      <c r="N207" s="16">
        <v>3545000</v>
      </c>
      <c r="O207" s="16">
        <v>3375000</v>
      </c>
      <c r="P207" s="16">
        <v>2800000</v>
      </c>
      <c r="Q207" s="16">
        <v>4211000</v>
      </c>
      <c r="R207" s="16">
        <v>1450000</v>
      </c>
      <c r="S207" s="16">
        <v>1775000</v>
      </c>
    </row>
    <row r="208" spans="1:19" ht="10.9" customHeight="1" x14ac:dyDescent="0.2">
      <c r="F208" s="12" t="s">
        <v>210</v>
      </c>
      <c r="G208" s="16">
        <v>2135720</v>
      </c>
      <c r="H208" s="16">
        <v>611300</v>
      </c>
      <c r="I208" s="16">
        <v>0</v>
      </c>
      <c r="J208" s="16">
        <v>0</v>
      </c>
      <c r="K208" s="16">
        <v>0</v>
      </c>
      <c r="L208" s="16">
        <v>0</v>
      </c>
      <c r="M208" s="16">
        <v>6392840</v>
      </c>
      <c r="N208" s="16">
        <v>2546250</v>
      </c>
      <c r="O208" s="16">
        <v>795710</v>
      </c>
      <c r="P208" s="16">
        <v>334000</v>
      </c>
      <c r="Q208" s="16">
        <v>730000</v>
      </c>
      <c r="R208" s="16">
        <v>0</v>
      </c>
      <c r="S208" s="16">
        <v>0</v>
      </c>
    </row>
    <row r="209" spans="1:19" ht="10.9" customHeight="1" x14ac:dyDescent="0.2">
      <c r="F209" s="12" t="s">
        <v>211</v>
      </c>
      <c r="G209" s="16">
        <v>0</v>
      </c>
      <c r="H209" s="16">
        <v>0</v>
      </c>
      <c r="I209" s="16">
        <v>0</v>
      </c>
      <c r="J209" s="16">
        <v>0</v>
      </c>
      <c r="K209" s="16">
        <v>18500</v>
      </c>
      <c r="L209" s="16">
        <v>0</v>
      </c>
      <c r="M209" s="16">
        <v>0</v>
      </c>
      <c r="N209" s="16">
        <v>0</v>
      </c>
      <c r="O209" s="16">
        <v>39000</v>
      </c>
      <c r="P209" s="16">
        <v>48750</v>
      </c>
      <c r="Q209" s="16">
        <v>0</v>
      </c>
      <c r="R209" s="16">
        <v>345000</v>
      </c>
      <c r="S209" s="16">
        <v>800000</v>
      </c>
    </row>
    <row r="210" spans="1:19" ht="10.9" customHeight="1" x14ac:dyDescent="0.2">
      <c r="F210" s="12" t="s">
        <v>212</v>
      </c>
      <c r="G210" s="16">
        <v>2104090</v>
      </c>
      <c r="H210" s="16">
        <v>1700000</v>
      </c>
      <c r="I210" s="16">
        <v>0</v>
      </c>
      <c r="J210" s="16">
        <v>13458333.33</v>
      </c>
      <c r="K210" s="16">
        <v>13458333.33</v>
      </c>
      <c r="L210" s="16">
        <v>13840833.33</v>
      </c>
      <c r="M210" s="16">
        <v>15348333.33</v>
      </c>
      <c r="N210" s="16">
        <v>28073000</v>
      </c>
      <c r="O210" s="16">
        <v>13618333.33</v>
      </c>
      <c r="P210" s="16">
        <v>0</v>
      </c>
      <c r="Q210" s="16">
        <v>0</v>
      </c>
      <c r="R210" s="16">
        <v>0</v>
      </c>
      <c r="S210" s="16">
        <v>2155000</v>
      </c>
    </row>
    <row r="211" spans="1:19" ht="10.9" customHeight="1" x14ac:dyDescent="0.2">
      <c r="F211" s="12" t="s">
        <v>213</v>
      </c>
      <c r="G211" s="16">
        <v>0</v>
      </c>
      <c r="H211" s="16">
        <v>4235250</v>
      </c>
      <c r="I211" s="16">
        <v>0</v>
      </c>
      <c r="J211" s="16">
        <v>559000</v>
      </c>
      <c r="K211" s="16">
        <v>11476635.33</v>
      </c>
      <c r="L211" s="16">
        <v>92292820</v>
      </c>
      <c r="M211" s="16">
        <v>0</v>
      </c>
      <c r="N211" s="16">
        <v>12637150</v>
      </c>
      <c r="O211" s="16">
        <v>17761404.289999999</v>
      </c>
      <c r="P211" s="16">
        <v>39604736.659999996</v>
      </c>
      <c r="Q211" s="16">
        <v>12395625</v>
      </c>
      <c r="R211" s="16">
        <v>67127266.670000002</v>
      </c>
      <c r="S211" s="16">
        <v>0</v>
      </c>
    </row>
    <row r="212" spans="1:19" ht="10.9" customHeight="1" x14ac:dyDescent="0.2">
      <c r="F212" s="12" t="s">
        <v>214</v>
      </c>
      <c r="G212" s="16">
        <v>1397000</v>
      </c>
      <c r="H212" s="16">
        <v>1529000</v>
      </c>
      <c r="I212" s="16">
        <v>749000</v>
      </c>
      <c r="J212" s="16">
        <v>1511700</v>
      </c>
      <c r="K212" s="16">
        <v>1865000</v>
      </c>
      <c r="L212" s="16">
        <v>11506900</v>
      </c>
      <c r="M212" s="16">
        <v>1294000</v>
      </c>
      <c r="N212" s="16">
        <v>12158166.66</v>
      </c>
      <c r="O212" s="16">
        <v>3867000</v>
      </c>
      <c r="P212" s="16">
        <v>14477000</v>
      </c>
      <c r="Q212" s="16">
        <v>5915000</v>
      </c>
      <c r="R212" s="16">
        <v>1526000</v>
      </c>
      <c r="S212" s="16">
        <v>1790345</v>
      </c>
    </row>
    <row r="213" spans="1:19" ht="10.9" customHeight="1" x14ac:dyDescent="0.2">
      <c r="F213" s="13" t="s">
        <v>215</v>
      </c>
      <c r="G213" s="17">
        <f t="shared" ref="G213:S213" si="31">SUM(G194:G212)</f>
        <v>40925550.329999998</v>
      </c>
      <c r="H213" s="17">
        <f t="shared" si="31"/>
        <v>48052352.340000004</v>
      </c>
      <c r="I213" s="17">
        <f t="shared" si="31"/>
        <v>27451260.670000002</v>
      </c>
      <c r="J213" s="17">
        <f t="shared" si="31"/>
        <v>179941345.58000001</v>
      </c>
      <c r="K213" s="17">
        <f t="shared" si="31"/>
        <v>96946445.75</v>
      </c>
      <c r="L213" s="17">
        <f t="shared" si="31"/>
        <v>183834315.25</v>
      </c>
      <c r="M213" s="17">
        <f t="shared" si="31"/>
        <v>93420098.25</v>
      </c>
      <c r="N213" s="17">
        <f t="shared" si="31"/>
        <v>92156521.25999999</v>
      </c>
      <c r="O213" s="17">
        <f t="shared" si="31"/>
        <v>74351850.210000008</v>
      </c>
      <c r="P213" s="17">
        <f t="shared" si="31"/>
        <v>96919159.920000002</v>
      </c>
      <c r="Q213" s="17">
        <f t="shared" si="31"/>
        <v>59096368.789999999</v>
      </c>
      <c r="R213" s="17">
        <f t="shared" si="31"/>
        <v>130996429.59</v>
      </c>
      <c r="S213" s="17">
        <f t="shared" si="31"/>
        <v>42512112.590000004</v>
      </c>
    </row>
    <row r="214" spans="1:19" ht="10.9" customHeight="1" x14ac:dyDescent="0.2">
      <c r="E214" s="13" t="s">
        <v>216</v>
      </c>
      <c r="G214" s="17">
        <f t="shared" ref="G214:S214" si="32">(0 + (G192 + G213))</f>
        <v>53812137.670000002</v>
      </c>
      <c r="H214" s="17">
        <f t="shared" si="32"/>
        <v>69238134.340000004</v>
      </c>
      <c r="I214" s="17">
        <f t="shared" si="32"/>
        <v>34853244.670000002</v>
      </c>
      <c r="J214" s="17">
        <f t="shared" si="32"/>
        <v>186908824.58000001</v>
      </c>
      <c r="K214" s="17">
        <f t="shared" si="32"/>
        <v>112848496.42</v>
      </c>
      <c r="L214" s="17">
        <f t="shared" si="32"/>
        <v>216552228.75</v>
      </c>
      <c r="M214" s="17">
        <f t="shared" si="32"/>
        <v>120260495.58</v>
      </c>
      <c r="N214" s="17">
        <f t="shared" si="32"/>
        <v>107201977.92999999</v>
      </c>
      <c r="O214" s="17">
        <f t="shared" si="32"/>
        <v>107146654.56</v>
      </c>
      <c r="P214" s="17">
        <f t="shared" si="32"/>
        <v>110681058.92</v>
      </c>
      <c r="Q214" s="17">
        <f t="shared" si="32"/>
        <v>65285684.789999999</v>
      </c>
      <c r="R214" s="17">
        <f t="shared" si="32"/>
        <v>141592292.59</v>
      </c>
      <c r="S214" s="17">
        <f t="shared" si="32"/>
        <v>47646727.590000004</v>
      </c>
    </row>
    <row r="215" spans="1:19" ht="10.9" customHeight="1" x14ac:dyDescent="0.2">
      <c r="A215" s="11"/>
      <c r="B215" s="11"/>
      <c r="C215" s="11"/>
      <c r="D215" s="11"/>
      <c r="E215" s="11" t="s">
        <v>217</v>
      </c>
      <c r="F215" s="11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1:19" ht="10.9" customHeight="1" x14ac:dyDescent="0.2">
      <c r="F216" s="12" t="s">
        <v>218</v>
      </c>
      <c r="G216" s="16">
        <v>3207133.5</v>
      </c>
      <c r="H216" s="16">
        <v>1260000</v>
      </c>
      <c r="I216" s="16">
        <v>1000000</v>
      </c>
      <c r="J216" s="16">
        <v>10470366</v>
      </c>
      <c r="K216" s="16">
        <v>0</v>
      </c>
      <c r="L216" s="16">
        <v>6536440</v>
      </c>
      <c r="M216" s="16">
        <v>16593202.5</v>
      </c>
      <c r="N216" s="16">
        <v>466525</v>
      </c>
      <c r="O216" s="16">
        <v>959700</v>
      </c>
      <c r="P216" s="16">
        <v>0</v>
      </c>
      <c r="Q216" s="16">
        <v>3438040.5</v>
      </c>
      <c r="R216" s="16">
        <v>292175</v>
      </c>
      <c r="S216" s="16">
        <v>447250</v>
      </c>
    </row>
    <row r="217" spans="1:19" ht="10.9" customHeight="1" x14ac:dyDescent="0.2">
      <c r="F217" s="12" t="s">
        <v>219</v>
      </c>
      <c r="G217" s="16">
        <v>290000</v>
      </c>
      <c r="H217" s="16">
        <v>0</v>
      </c>
      <c r="I217" s="16">
        <v>0</v>
      </c>
      <c r="J217" s="16">
        <v>160000</v>
      </c>
      <c r="K217" s="16">
        <v>0</v>
      </c>
      <c r="L217" s="16">
        <v>0</v>
      </c>
      <c r="M217" s="16">
        <v>0</v>
      </c>
      <c r="N217" s="16">
        <v>268000</v>
      </c>
      <c r="O217" s="16">
        <v>52000</v>
      </c>
      <c r="P217" s="16">
        <v>300000</v>
      </c>
      <c r="Q217" s="16">
        <v>160000</v>
      </c>
      <c r="R217" s="16">
        <v>0</v>
      </c>
      <c r="S217" s="16">
        <v>0</v>
      </c>
    </row>
    <row r="218" spans="1:19" ht="10.9" customHeight="1" x14ac:dyDescent="0.2">
      <c r="F218" s="12" t="s">
        <v>220</v>
      </c>
      <c r="G218" s="16">
        <v>3350000</v>
      </c>
      <c r="H218" s="16">
        <v>350000</v>
      </c>
      <c r="I218" s="16">
        <v>0</v>
      </c>
      <c r="J218" s="16">
        <v>500000</v>
      </c>
      <c r="K218" s="16">
        <v>14000416</v>
      </c>
      <c r="L218" s="16">
        <v>250000</v>
      </c>
      <c r="M218" s="16">
        <v>47943400</v>
      </c>
      <c r="N218" s="16">
        <v>109000</v>
      </c>
      <c r="O218" s="16">
        <v>1374066</v>
      </c>
      <c r="P218" s="16">
        <v>4450000</v>
      </c>
      <c r="Q218" s="16">
        <v>4288351</v>
      </c>
      <c r="R218" s="16">
        <v>0</v>
      </c>
      <c r="S218" s="16">
        <v>0</v>
      </c>
    </row>
    <row r="219" spans="1:19" ht="10.9" customHeight="1" x14ac:dyDescent="0.2">
      <c r="F219" s="12" t="s">
        <v>221</v>
      </c>
      <c r="G219" s="16">
        <v>0</v>
      </c>
      <c r="H219" s="16">
        <v>0</v>
      </c>
      <c r="I219" s="16">
        <v>0</v>
      </c>
      <c r="J219" s="16">
        <v>0</v>
      </c>
      <c r="K219" s="16">
        <v>12400000</v>
      </c>
      <c r="L219" s="16">
        <v>0</v>
      </c>
      <c r="M219" s="16">
        <v>0</v>
      </c>
      <c r="N219" s="16">
        <v>0</v>
      </c>
      <c r="O219" s="16">
        <v>16425066</v>
      </c>
      <c r="P219" s="16">
        <v>5905467</v>
      </c>
      <c r="Q219" s="16">
        <v>5540786</v>
      </c>
      <c r="R219" s="16">
        <v>0</v>
      </c>
      <c r="S219" s="16">
        <v>0</v>
      </c>
    </row>
    <row r="220" spans="1:19" ht="10.9" customHeight="1" x14ac:dyDescent="0.2">
      <c r="F220" s="12" t="s">
        <v>222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41500</v>
      </c>
      <c r="R220" s="16">
        <v>0</v>
      </c>
      <c r="S220" s="16">
        <v>0</v>
      </c>
    </row>
    <row r="221" spans="1:19" ht="10.9" customHeight="1" x14ac:dyDescent="0.2">
      <c r="F221" s="12" t="s">
        <v>223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1181363.75</v>
      </c>
      <c r="M221" s="16">
        <v>0</v>
      </c>
      <c r="N221" s="16">
        <v>0</v>
      </c>
      <c r="O221" s="16">
        <v>0</v>
      </c>
      <c r="P221" s="16">
        <v>3321000</v>
      </c>
      <c r="Q221" s="16">
        <v>0</v>
      </c>
      <c r="R221" s="16">
        <v>9395040</v>
      </c>
      <c r="S221" s="16">
        <v>152562000</v>
      </c>
    </row>
    <row r="222" spans="1:19" ht="10.9" customHeight="1" x14ac:dyDescent="0.2">
      <c r="F222" s="12" t="s">
        <v>224</v>
      </c>
      <c r="G222" s="16">
        <v>101000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</row>
    <row r="223" spans="1:19" ht="10.9" customHeight="1" x14ac:dyDescent="0.2">
      <c r="F223" s="12" t="s">
        <v>225</v>
      </c>
      <c r="G223" s="16">
        <v>0</v>
      </c>
      <c r="H223" s="16">
        <v>0</v>
      </c>
      <c r="I223" s="16">
        <v>0</v>
      </c>
      <c r="J223" s="16">
        <v>0</v>
      </c>
      <c r="K223" s="16">
        <v>3000000</v>
      </c>
      <c r="L223" s="16">
        <v>0</v>
      </c>
      <c r="M223" s="16">
        <v>2000000</v>
      </c>
      <c r="N223" s="16">
        <v>0</v>
      </c>
      <c r="O223" s="16">
        <v>13000000</v>
      </c>
      <c r="P223" s="16">
        <v>0</v>
      </c>
      <c r="Q223" s="16">
        <v>0</v>
      </c>
      <c r="R223" s="16">
        <v>0</v>
      </c>
      <c r="S223" s="16">
        <v>3000000</v>
      </c>
    </row>
    <row r="224" spans="1:19" ht="10.9" customHeight="1" x14ac:dyDescent="0.2">
      <c r="F224" s="12" t="s">
        <v>226</v>
      </c>
      <c r="G224" s="16">
        <v>58728008</v>
      </c>
      <c r="H224" s="16">
        <v>57196177</v>
      </c>
      <c r="I224" s="16">
        <v>62006766</v>
      </c>
      <c r="J224" s="16">
        <v>56324016</v>
      </c>
      <c r="K224" s="16">
        <v>56375516</v>
      </c>
      <c r="L224" s="16">
        <v>56478516</v>
      </c>
      <c r="M224" s="16">
        <v>420773626</v>
      </c>
      <c r="N224" s="16">
        <v>3356000</v>
      </c>
      <c r="O224" s="16">
        <v>3356000</v>
      </c>
      <c r="P224" s="16">
        <v>3356000</v>
      </c>
      <c r="Q224" s="16">
        <v>3356000</v>
      </c>
      <c r="R224" s="16">
        <v>3356000</v>
      </c>
      <c r="S224" s="16">
        <v>3356000</v>
      </c>
    </row>
    <row r="225" spans="1:19" ht="10.9" customHeight="1" x14ac:dyDescent="0.2">
      <c r="F225" s="12" t="s">
        <v>227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344400</v>
      </c>
      <c r="P225" s="16">
        <v>0</v>
      </c>
      <c r="Q225" s="16">
        <v>104000</v>
      </c>
      <c r="R225" s="16">
        <v>0</v>
      </c>
      <c r="S225" s="16">
        <v>0</v>
      </c>
    </row>
    <row r="226" spans="1:19" ht="10.9" customHeight="1" x14ac:dyDescent="0.2">
      <c r="F226" s="12" t="s">
        <v>228</v>
      </c>
      <c r="G226" s="16">
        <v>451250</v>
      </c>
      <c r="H226" s="16">
        <v>1242288</v>
      </c>
      <c r="I226" s="16">
        <v>1044330</v>
      </c>
      <c r="J226" s="16">
        <v>250000</v>
      </c>
      <c r="K226" s="16">
        <v>0</v>
      </c>
      <c r="L226" s="16">
        <v>126160</v>
      </c>
      <c r="M226" s="16">
        <v>23638481</v>
      </c>
      <c r="N226" s="16">
        <v>0</v>
      </c>
      <c r="O226" s="16">
        <v>1542999.68</v>
      </c>
      <c r="P226" s="16">
        <v>2959065</v>
      </c>
      <c r="Q226" s="16">
        <v>1630784</v>
      </c>
      <c r="R226" s="16">
        <v>3117895</v>
      </c>
      <c r="S226" s="16">
        <v>132800</v>
      </c>
    </row>
    <row r="227" spans="1:19" ht="10.9" customHeight="1" x14ac:dyDescent="0.2">
      <c r="F227" s="12" t="s">
        <v>229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80000</v>
      </c>
    </row>
    <row r="228" spans="1:19" ht="10.9" customHeight="1" x14ac:dyDescent="0.2">
      <c r="F228" s="12" t="s">
        <v>230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3500000</v>
      </c>
      <c r="M228" s="16">
        <v>2527951</v>
      </c>
      <c r="N228" s="16">
        <v>0</v>
      </c>
      <c r="O228" s="16">
        <v>0</v>
      </c>
      <c r="P228" s="16">
        <v>0</v>
      </c>
      <c r="Q228" s="16">
        <v>0</v>
      </c>
      <c r="R228" s="16">
        <v>1500000</v>
      </c>
      <c r="S228" s="16">
        <v>-4580000</v>
      </c>
    </row>
    <row r="229" spans="1:19" ht="10.9" customHeight="1" x14ac:dyDescent="0.2">
      <c r="F229" s="12" t="s">
        <v>231</v>
      </c>
      <c r="G229" s="16">
        <v>4346270</v>
      </c>
      <c r="H229" s="16">
        <v>1250000</v>
      </c>
      <c r="I229" s="16">
        <v>20657601</v>
      </c>
      <c r="J229" s="16">
        <v>0</v>
      </c>
      <c r="K229" s="16">
        <v>27693449</v>
      </c>
      <c r="L229" s="16">
        <v>3530000</v>
      </c>
      <c r="M229" s="16">
        <v>5285000</v>
      </c>
      <c r="N229" s="16">
        <v>5579000</v>
      </c>
      <c r="O229" s="16">
        <v>695000</v>
      </c>
      <c r="P229" s="16">
        <v>1620000</v>
      </c>
      <c r="Q229" s="16">
        <v>5095000</v>
      </c>
      <c r="R229" s="16">
        <v>4578750</v>
      </c>
      <c r="S229" s="16">
        <v>4513600</v>
      </c>
    </row>
    <row r="230" spans="1:19" ht="10.9" customHeight="1" x14ac:dyDescent="0.2">
      <c r="F230" s="12" t="s">
        <v>232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9979000</v>
      </c>
      <c r="O230" s="16">
        <v>12440000</v>
      </c>
      <c r="P230" s="16">
        <v>0</v>
      </c>
      <c r="Q230" s="16">
        <v>0</v>
      </c>
      <c r="R230" s="16">
        <v>0</v>
      </c>
      <c r="S230" s="16">
        <v>0</v>
      </c>
    </row>
    <row r="231" spans="1:19" ht="10.9" customHeight="1" x14ac:dyDescent="0.2">
      <c r="F231" s="12" t="s">
        <v>233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4250000</v>
      </c>
      <c r="Q231" s="16">
        <v>0</v>
      </c>
      <c r="R231" s="16">
        <v>0</v>
      </c>
      <c r="S231" s="16">
        <v>0</v>
      </c>
    </row>
    <row r="232" spans="1:19" ht="10.9" customHeight="1" x14ac:dyDescent="0.2">
      <c r="E232" s="13" t="s">
        <v>234</v>
      </c>
      <c r="G232" s="17">
        <f t="shared" ref="G232:S232" si="33">SUM(G216:G231)</f>
        <v>70473661.5</v>
      </c>
      <c r="H232" s="17">
        <f t="shared" si="33"/>
        <v>61298465</v>
      </c>
      <c r="I232" s="17">
        <f t="shared" si="33"/>
        <v>84708697</v>
      </c>
      <c r="J232" s="17">
        <f t="shared" si="33"/>
        <v>67704382</v>
      </c>
      <c r="K232" s="17">
        <f t="shared" si="33"/>
        <v>113469381</v>
      </c>
      <c r="L232" s="17">
        <f t="shared" si="33"/>
        <v>71602479.75</v>
      </c>
      <c r="M232" s="17">
        <f t="shared" si="33"/>
        <v>518761660.5</v>
      </c>
      <c r="N232" s="17">
        <f t="shared" si="33"/>
        <v>19757525</v>
      </c>
      <c r="O232" s="17">
        <f t="shared" si="33"/>
        <v>50189231.68</v>
      </c>
      <c r="P232" s="17">
        <f t="shared" si="33"/>
        <v>26161532</v>
      </c>
      <c r="Q232" s="17">
        <f t="shared" si="33"/>
        <v>23654461.5</v>
      </c>
      <c r="R232" s="17">
        <f t="shared" si="33"/>
        <v>22239860</v>
      </c>
      <c r="S232" s="17">
        <f t="shared" si="33"/>
        <v>159511650</v>
      </c>
    </row>
    <row r="233" spans="1:19" ht="10.9" customHeight="1" x14ac:dyDescent="0.2">
      <c r="A233" s="11"/>
      <c r="B233" s="11"/>
      <c r="C233" s="11"/>
      <c r="D233" s="11"/>
      <c r="E233" s="11" t="s">
        <v>235</v>
      </c>
      <c r="F233" s="11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1:19" ht="10.9" customHeight="1" x14ac:dyDescent="0.2">
      <c r="A234" s="11"/>
      <c r="B234" s="11"/>
      <c r="C234" s="11"/>
      <c r="D234" s="11"/>
      <c r="E234" s="11"/>
      <c r="F234" s="11" t="s">
        <v>236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1:19" ht="10.9" customHeight="1" x14ac:dyDescent="0.2">
      <c r="F235" s="12" t="s">
        <v>237</v>
      </c>
      <c r="G235" s="16">
        <v>165000</v>
      </c>
      <c r="H235" s="16">
        <v>0</v>
      </c>
      <c r="I235" s="16">
        <v>0</v>
      </c>
      <c r="J235" s="16">
        <v>0</v>
      </c>
      <c r="K235" s="16">
        <v>1023966.66</v>
      </c>
      <c r="L235" s="16">
        <v>1181000</v>
      </c>
      <c r="M235" s="16">
        <v>0</v>
      </c>
      <c r="N235" s="16">
        <v>0</v>
      </c>
      <c r="O235" s="16">
        <v>0</v>
      </c>
      <c r="P235" s="16">
        <v>0</v>
      </c>
      <c r="Q235" s="16">
        <v>122900</v>
      </c>
      <c r="R235" s="16">
        <v>0</v>
      </c>
      <c r="S235" s="16">
        <v>0</v>
      </c>
    </row>
    <row r="236" spans="1:19" ht="10.9" customHeight="1" x14ac:dyDescent="0.2">
      <c r="F236" s="12" t="s">
        <v>238</v>
      </c>
      <c r="G236" s="16">
        <v>0</v>
      </c>
      <c r="H236" s="16">
        <v>1215000</v>
      </c>
      <c r="I236" s="16">
        <v>55200</v>
      </c>
      <c r="J236" s="16">
        <v>1101800</v>
      </c>
      <c r="K236" s="16">
        <v>487500</v>
      </c>
      <c r="L236" s="16">
        <v>225000</v>
      </c>
      <c r="M236" s="16">
        <v>250000</v>
      </c>
      <c r="N236" s="16">
        <v>4452000</v>
      </c>
      <c r="O236" s="16">
        <v>3346600</v>
      </c>
      <c r="P236" s="16">
        <v>3353000</v>
      </c>
      <c r="Q236" s="16">
        <v>1058500</v>
      </c>
      <c r="R236" s="16">
        <v>0</v>
      </c>
      <c r="S236" s="16">
        <v>0</v>
      </c>
    </row>
    <row r="237" spans="1:19" ht="10.9" customHeight="1" x14ac:dyDescent="0.2">
      <c r="F237" s="12" t="s">
        <v>239</v>
      </c>
      <c r="G237" s="16">
        <v>1660236</v>
      </c>
      <c r="H237" s="16">
        <v>1026700</v>
      </c>
      <c r="I237" s="16">
        <v>661000</v>
      </c>
      <c r="J237" s="16">
        <v>770750</v>
      </c>
      <c r="K237" s="16">
        <v>2230083.33</v>
      </c>
      <c r="L237" s="16">
        <v>3162550</v>
      </c>
      <c r="M237" s="16">
        <v>1891874</v>
      </c>
      <c r="N237" s="16">
        <v>1720000</v>
      </c>
      <c r="O237" s="16">
        <v>2405725</v>
      </c>
      <c r="P237" s="16">
        <v>1751000</v>
      </c>
      <c r="Q237" s="16">
        <v>1491250</v>
      </c>
      <c r="R237" s="16">
        <v>1704414</v>
      </c>
      <c r="S237" s="16">
        <v>1009052</v>
      </c>
    </row>
    <row r="238" spans="1:19" ht="10.9" customHeight="1" x14ac:dyDescent="0.2">
      <c r="F238" s="12" t="s">
        <v>240</v>
      </c>
      <c r="G238" s="16">
        <v>0</v>
      </c>
      <c r="H238" s="16">
        <v>589300</v>
      </c>
      <c r="I238" s="16">
        <v>899720</v>
      </c>
      <c r="J238" s="16">
        <v>0</v>
      </c>
      <c r="K238" s="16">
        <v>174300</v>
      </c>
      <c r="L238" s="16">
        <v>0</v>
      </c>
      <c r="M238" s="16">
        <v>1045800</v>
      </c>
      <c r="N238" s="16">
        <v>0</v>
      </c>
      <c r="O238" s="16">
        <v>81910</v>
      </c>
      <c r="P238" s="16">
        <v>79680</v>
      </c>
      <c r="Q238" s="16">
        <v>0</v>
      </c>
      <c r="R238" s="16">
        <v>0</v>
      </c>
      <c r="S238" s="16">
        <v>0</v>
      </c>
    </row>
    <row r="239" spans="1:19" ht="10.9" customHeight="1" x14ac:dyDescent="0.2">
      <c r="F239" s="12" t="s">
        <v>241</v>
      </c>
      <c r="G239" s="16">
        <v>435000</v>
      </c>
      <c r="H239" s="16">
        <v>300000</v>
      </c>
      <c r="I239" s="16">
        <v>620000</v>
      </c>
      <c r="J239" s="16">
        <v>575000</v>
      </c>
      <c r="K239" s="16">
        <v>270000</v>
      </c>
      <c r="L239" s="16">
        <v>1920000</v>
      </c>
      <c r="M239" s="16">
        <v>0</v>
      </c>
      <c r="N239" s="16">
        <v>2602500</v>
      </c>
      <c r="O239" s="16">
        <v>2625000</v>
      </c>
      <c r="P239" s="16">
        <v>2625000</v>
      </c>
      <c r="Q239" s="16">
        <v>1350000</v>
      </c>
      <c r="R239" s="16">
        <v>14500</v>
      </c>
      <c r="S239" s="16">
        <v>1190000</v>
      </c>
    </row>
    <row r="240" spans="1:19" ht="10.9" customHeight="1" x14ac:dyDescent="0.2">
      <c r="F240" s="12" t="s">
        <v>242</v>
      </c>
      <c r="G240" s="16">
        <v>1376464.29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239335</v>
      </c>
      <c r="P240" s="16">
        <v>609979</v>
      </c>
      <c r="Q240" s="16">
        <v>0</v>
      </c>
      <c r="R240" s="16">
        <v>237949</v>
      </c>
      <c r="S240" s="16">
        <v>800000</v>
      </c>
    </row>
    <row r="241" spans="1:19" ht="10.9" customHeight="1" x14ac:dyDescent="0.2">
      <c r="F241" s="12" t="s">
        <v>243</v>
      </c>
      <c r="G241" s="16">
        <v>10000</v>
      </c>
      <c r="H241" s="16">
        <v>10000</v>
      </c>
      <c r="I241" s="16">
        <v>10000</v>
      </c>
      <c r="J241" s="16">
        <v>10000</v>
      </c>
      <c r="K241" s="16">
        <v>1010000</v>
      </c>
      <c r="L241" s="16">
        <v>10000</v>
      </c>
      <c r="M241" s="16">
        <v>1010000</v>
      </c>
      <c r="N241" s="16">
        <v>10000</v>
      </c>
      <c r="O241" s="16">
        <v>1010000</v>
      </c>
      <c r="P241" s="16">
        <v>1010000</v>
      </c>
      <c r="Q241" s="16">
        <v>10000</v>
      </c>
      <c r="R241" s="16">
        <v>1010000</v>
      </c>
      <c r="S241" s="16">
        <v>510000</v>
      </c>
    </row>
    <row r="242" spans="1:19" ht="10.9" customHeight="1" x14ac:dyDescent="0.2">
      <c r="F242" s="12" t="s">
        <v>244</v>
      </c>
      <c r="G242" s="16">
        <v>17103750</v>
      </c>
      <c r="H242" s="16">
        <v>22591750</v>
      </c>
      <c r="I242" s="16">
        <v>18077500</v>
      </c>
      <c r="J242" s="16">
        <v>19372500</v>
      </c>
      <c r="K242" s="16">
        <v>20610000</v>
      </c>
      <c r="L242" s="16">
        <v>19372500</v>
      </c>
      <c r="M242" s="16">
        <v>20395000</v>
      </c>
      <c r="N242" s="16">
        <v>20295000</v>
      </c>
      <c r="O242" s="16">
        <v>18450000</v>
      </c>
      <c r="P242" s="16">
        <v>0</v>
      </c>
      <c r="Q242" s="16">
        <v>80000</v>
      </c>
      <c r="R242" s="16">
        <v>100000</v>
      </c>
      <c r="S242" s="16">
        <v>0</v>
      </c>
    </row>
    <row r="243" spans="1:19" ht="10.9" customHeight="1" x14ac:dyDescent="0.2">
      <c r="F243" s="12" t="s">
        <v>245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294840</v>
      </c>
      <c r="Q243" s="16">
        <v>0</v>
      </c>
      <c r="R243" s="16">
        <v>515970</v>
      </c>
      <c r="S243" s="16">
        <v>442260</v>
      </c>
    </row>
    <row r="244" spans="1:19" ht="10.9" customHeight="1" x14ac:dyDescent="0.2">
      <c r="F244" s="12" t="s">
        <v>246</v>
      </c>
      <c r="G244" s="16">
        <v>0</v>
      </c>
      <c r="H244" s="16">
        <v>22750</v>
      </c>
      <c r="I244" s="16">
        <v>220000</v>
      </c>
      <c r="J244" s="16">
        <v>32125</v>
      </c>
      <c r="K244" s="16">
        <v>104000</v>
      </c>
      <c r="L244" s="16">
        <v>52000</v>
      </c>
      <c r="M244" s="16">
        <v>106000</v>
      </c>
      <c r="N244" s="16">
        <v>42000</v>
      </c>
      <c r="O244" s="16">
        <v>303550</v>
      </c>
      <c r="P244" s="16">
        <v>5000</v>
      </c>
      <c r="Q244" s="16">
        <v>19000</v>
      </c>
      <c r="R244" s="16">
        <v>181125</v>
      </c>
      <c r="S244" s="16">
        <v>0</v>
      </c>
    </row>
    <row r="245" spans="1:19" ht="10.9" customHeight="1" x14ac:dyDescent="0.2">
      <c r="F245" s="12" t="s">
        <v>247</v>
      </c>
      <c r="G245" s="16">
        <v>0</v>
      </c>
      <c r="H245" s="16">
        <v>18093</v>
      </c>
      <c r="I245" s="16">
        <v>0</v>
      </c>
      <c r="J245" s="16">
        <v>0</v>
      </c>
      <c r="K245" s="16">
        <v>1000000</v>
      </c>
      <c r="L245" s="16">
        <v>103927</v>
      </c>
      <c r="M245" s="16">
        <v>5000</v>
      </c>
      <c r="N245" s="16">
        <v>1175332</v>
      </c>
      <c r="O245" s="16">
        <v>0</v>
      </c>
      <c r="P245" s="16">
        <v>0</v>
      </c>
      <c r="Q245" s="16">
        <v>0</v>
      </c>
      <c r="R245" s="16">
        <v>41500</v>
      </c>
      <c r="S245" s="16">
        <v>100000</v>
      </c>
    </row>
    <row r="246" spans="1:19" ht="10.9" customHeight="1" x14ac:dyDescent="0.2">
      <c r="F246" s="12" t="s">
        <v>248</v>
      </c>
      <c r="G246" s="16">
        <v>2409477</v>
      </c>
      <c r="H246" s="16">
        <v>0</v>
      </c>
      <c r="I246" s="16">
        <v>0</v>
      </c>
      <c r="J246" s="16">
        <v>0</v>
      </c>
      <c r="K246" s="16">
        <v>6768300</v>
      </c>
      <c r="L246" s="16">
        <v>2910141</v>
      </c>
      <c r="M246" s="16">
        <v>1648300</v>
      </c>
      <c r="N246" s="16">
        <v>4743193</v>
      </c>
      <c r="O246" s="16">
        <v>3100000</v>
      </c>
      <c r="P246" s="16">
        <v>1461063</v>
      </c>
      <c r="Q246" s="16">
        <v>0</v>
      </c>
      <c r="R246" s="16">
        <v>0</v>
      </c>
      <c r="S246" s="16">
        <v>2606100</v>
      </c>
    </row>
    <row r="247" spans="1:19" ht="10.9" customHeight="1" x14ac:dyDescent="0.2">
      <c r="F247" s="12" t="s">
        <v>249</v>
      </c>
      <c r="G247" s="16">
        <v>0</v>
      </c>
      <c r="H247" s="16">
        <v>888500</v>
      </c>
      <c r="I247" s="16">
        <v>9063500</v>
      </c>
      <c r="J247" s="16">
        <v>8500000</v>
      </c>
      <c r="K247" s="16">
        <v>10170500</v>
      </c>
      <c r="L247" s="16">
        <v>9066500</v>
      </c>
      <c r="M247" s="16">
        <v>17000000</v>
      </c>
      <c r="N247" s="16">
        <v>0</v>
      </c>
      <c r="O247" s="16">
        <v>2272000</v>
      </c>
      <c r="P247" s="16">
        <v>0</v>
      </c>
      <c r="Q247" s="16">
        <v>823000</v>
      </c>
      <c r="R247" s="16">
        <v>0</v>
      </c>
      <c r="S247" s="16">
        <v>1752500</v>
      </c>
    </row>
    <row r="248" spans="1:19" ht="10.9" customHeight="1" x14ac:dyDescent="0.2">
      <c r="F248" s="12" t="s">
        <v>250</v>
      </c>
      <c r="G248" s="16">
        <v>5827500</v>
      </c>
      <c r="H248" s="16">
        <v>5827500</v>
      </c>
      <c r="I248" s="16">
        <v>5827500</v>
      </c>
      <c r="J248" s="16">
        <v>0</v>
      </c>
      <c r="K248" s="16">
        <v>0</v>
      </c>
      <c r="L248" s="16">
        <v>5827500</v>
      </c>
      <c r="M248" s="16">
        <v>5827500</v>
      </c>
      <c r="N248" s="16">
        <v>5827500</v>
      </c>
      <c r="O248" s="16">
        <v>5827500</v>
      </c>
      <c r="P248" s="16">
        <v>5827500</v>
      </c>
      <c r="Q248" s="16">
        <v>5827500</v>
      </c>
      <c r="R248" s="16">
        <v>5827500</v>
      </c>
      <c r="S248" s="16">
        <v>5827500</v>
      </c>
    </row>
    <row r="249" spans="1:19" ht="10.9" customHeight="1" x14ac:dyDescent="0.2">
      <c r="F249" s="12" t="s">
        <v>251</v>
      </c>
      <c r="G249" s="16">
        <v>2000000</v>
      </c>
      <c r="H249" s="16">
        <v>100000</v>
      </c>
      <c r="I249" s="16">
        <v>2600000</v>
      </c>
      <c r="J249" s="16">
        <v>0</v>
      </c>
      <c r="K249" s="16">
        <v>0</v>
      </c>
      <c r="L249" s="16">
        <v>0</v>
      </c>
      <c r="M249" s="16">
        <v>0</v>
      </c>
      <c r="N249" s="16">
        <v>5500000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</row>
    <row r="250" spans="1:19" ht="10.9" customHeight="1" x14ac:dyDescent="0.2">
      <c r="F250" s="12" t="s">
        <v>252</v>
      </c>
      <c r="G250" s="16">
        <v>0</v>
      </c>
      <c r="H250" s="16">
        <v>0</v>
      </c>
      <c r="I250" s="16">
        <v>0</v>
      </c>
      <c r="J250" s="16">
        <v>0</v>
      </c>
      <c r="K250" s="16">
        <v>4372933.34</v>
      </c>
      <c r="L250" s="16">
        <v>4372933.34</v>
      </c>
      <c r="M250" s="16">
        <v>4372933.34</v>
      </c>
      <c r="N250" s="16">
        <v>4372933.34</v>
      </c>
      <c r="O250" s="16">
        <v>5994485.7199999997</v>
      </c>
      <c r="P250" s="16">
        <v>5994485.7199999997</v>
      </c>
      <c r="Q250" s="16">
        <v>5994485.7199999997</v>
      </c>
      <c r="R250" s="16">
        <v>5994485.7199999997</v>
      </c>
      <c r="S250" s="16">
        <v>5994485.7199999997</v>
      </c>
    </row>
    <row r="251" spans="1:19" ht="10.9" customHeight="1" x14ac:dyDescent="0.2">
      <c r="F251" s="12" t="s">
        <v>253</v>
      </c>
      <c r="G251" s="16">
        <v>2400000</v>
      </c>
      <c r="H251" s="16">
        <v>5400000</v>
      </c>
      <c r="I251" s="16">
        <v>5400000</v>
      </c>
      <c r="J251" s="16">
        <v>3200000</v>
      </c>
      <c r="K251" s="16">
        <v>2900000</v>
      </c>
      <c r="L251" s="16">
        <v>2000000</v>
      </c>
      <c r="M251" s="16">
        <v>3200000</v>
      </c>
      <c r="N251" s="16">
        <v>2800000</v>
      </c>
      <c r="O251" s="16">
        <v>4200000</v>
      </c>
      <c r="P251" s="16">
        <v>4200000</v>
      </c>
      <c r="Q251" s="16">
        <v>7400000</v>
      </c>
      <c r="R251" s="16">
        <v>3200000</v>
      </c>
      <c r="S251" s="16">
        <v>0</v>
      </c>
    </row>
    <row r="252" spans="1:19" ht="10.9" customHeight="1" x14ac:dyDescent="0.2">
      <c r="F252" s="12" t="s">
        <v>254</v>
      </c>
      <c r="G252" s="16">
        <v>1164560</v>
      </c>
      <c r="H252" s="16">
        <v>350000</v>
      </c>
      <c r="I252" s="16">
        <v>3165700</v>
      </c>
      <c r="J252" s="16">
        <v>3672837</v>
      </c>
      <c r="K252" s="16">
        <v>8553900</v>
      </c>
      <c r="L252" s="16">
        <v>7300000</v>
      </c>
      <c r="M252" s="16">
        <v>1852900</v>
      </c>
      <c r="N252" s="16">
        <v>3800966</v>
      </c>
      <c r="O252" s="16">
        <v>4768659</v>
      </c>
      <c r="P252" s="16">
        <v>0</v>
      </c>
      <c r="Q252" s="16">
        <v>0</v>
      </c>
      <c r="R252" s="16">
        <v>0</v>
      </c>
      <c r="S252" s="16">
        <v>0</v>
      </c>
    </row>
    <row r="253" spans="1:19" ht="10.9" customHeight="1" x14ac:dyDescent="0.2">
      <c r="F253" s="13" t="s">
        <v>255</v>
      </c>
      <c r="G253" s="17">
        <f t="shared" ref="G253:S253" si="34">SUM(G235:G252)</f>
        <v>34551987.289999999</v>
      </c>
      <c r="H253" s="17">
        <f t="shared" si="34"/>
        <v>38339593</v>
      </c>
      <c r="I253" s="17">
        <f t="shared" si="34"/>
        <v>46600120</v>
      </c>
      <c r="J253" s="17">
        <f t="shared" si="34"/>
        <v>37235012</v>
      </c>
      <c r="K253" s="17">
        <f t="shared" si="34"/>
        <v>59675483.329999998</v>
      </c>
      <c r="L253" s="17">
        <f t="shared" si="34"/>
        <v>57504051.340000004</v>
      </c>
      <c r="M253" s="17">
        <f t="shared" si="34"/>
        <v>58605307.340000004</v>
      </c>
      <c r="N253" s="17">
        <f t="shared" si="34"/>
        <v>57341424.340000004</v>
      </c>
      <c r="O253" s="17">
        <f t="shared" si="34"/>
        <v>54624764.719999999</v>
      </c>
      <c r="P253" s="17">
        <f t="shared" si="34"/>
        <v>27211547.719999999</v>
      </c>
      <c r="Q253" s="17">
        <f t="shared" si="34"/>
        <v>24176635.719999999</v>
      </c>
      <c r="R253" s="17">
        <f t="shared" si="34"/>
        <v>18827443.719999999</v>
      </c>
      <c r="S253" s="17">
        <f t="shared" si="34"/>
        <v>20231897.719999999</v>
      </c>
    </row>
    <row r="254" spans="1:19" ht="10.9" customHeight="1" x14ac:dyDescent="0.2">
      <c r="A254" s="11"/>
      <c r="B254" s="11"/>
      <c r="C254" s="11"/>
      <c r="D254" s="11"/>
      <c r="E254" s="11"/>
      <c r="F254" s="11" t="s">
        <v>256</v>
      </c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1:19" ht="10.9" customHeight="1" x14ac:dyDescent="0.2">
      <c r="F255" s="12" t="s">
        <v>257</v>
      </c>
      <c r="G255" s="16">
        <v>144000</v>
      </c>
      <c r="H255" s="16">
        <v>120000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1080000</v>
      </c>
      <c r="S255" s="16">
        <v>1044000</v>
      </c>
    </row>
    <row r="256" spans="1:19" ht="10.9" customHeight="1" x14ac:dyDescent="0.2">
      <c r="F256" s="12" t="s">
        <v>258</v>
      </c>
      <c r="G256" s="16">
        <v>65334</v>
      </c>
      <c r="H256" s="16">
        <v>275000</v>
      </c>
      <c r="I256" s="16">
        <v>50000</v>
      </c>
      <c r="J256" s="16">
        <v>60000</v>
      </c>
      <c r="K256" s="16">
        <v>88333.33</v>
      </c>
      <c r="L256" s="16">
        <v>2156000</v>
      </c>
      <c r="M256" s="16">
        <v>0</v>
      </c>
      <c r="N256" s="16">
        <v>0</v>
      </c>
      <c r="O256" s="16">
        <v>1044300</v>
      </c>
      <c r="P256" s="16">
        <v>0</v>
      </c>
      <c r="Q256" s="16">
        <v>640000</v>
      </c>
      <c r="R256" s="16">
        <v>0</v>
      </c>
      <c r="S256" s="16">
        <v>0</v>
      </c>
    </row>
    <row r="257" spans="1:19" ht="10.9" customHeight="1" x14ac:dyDescent="0.2">
      <c r="F257" s="12" t="s">
        <v>259</v>
      </c>
      <c r="G257" s="16">
        <v>32125</v>
      </c>
      <c r="H257" s="16">
        <v>48000</v>
      </c>
      <c r="I257" s="16">
        <v>0</v>
      </c>
      <c r="J257" s="16">
        <v>0</v>
      </c>
      <c r="K257" s="16">
        <v>86438</v>
      </c>
      <c r="L257" s="16">
        <v>61813</v>
      </c>
      <c r="M257" s="16">
        <v>0</v>
      </c>
      <c r="N257" s="16">
        <v>0</v>
      </c>
      <c r="O257" s="16">
        <v>47000</v>
      </c>
      <c r="P257" s="16">
        <v>208125</v>
      </c>
      <c r="Q257" s="16">
        <v>0</v>
      </c>
      <c r="R257" s="16">
        <v>0</v>
      </c>
      <c r="S257" s="16">
        <v>0</v>
      </c>
    </row>
    <row r="258" spans="1:19" ht="10.9" customHeight="1" x14ac:dyDescent="0.2">
      <c r="F258" s="12" t="s">
        <v>260</v>
      </c>
      <c r="G258" s="16">
        <v>0</v>
      </c>
      <c r="H258" s="16">
        <v>0</v>
      </c>
      <c r="I258" s="16">
        <v>3701666.66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1260000</v>
      </c>
      <c r="P258" s="16">
        <v>0</v>
      </c>
      <c r="Q258" s="16">
        <v>0</v>
      </c>
      <c r="R258" s="16">
        <v>0</v>
      </c>
      <c r="S258" s="16">
        <v>0</v>
      </c>
    </row>
    <row r="259" spans="1:19" ht="10.9" customHeight="1" x14ac:dyDescent="0.2">
      <c r="F259" s="13" t="s">
        <v>261</v>
      </c>
      <c r="G259" s="17">
        <f t="shared" ref="G259:S259" si="35">SUM(G255:G258)</f>
        <v>241459</v>
      </c>
      <c r="H259" s="17">
        <f t="shared" si="35"/>
        <v>443000</v>
      </c>
      <c r="I259" s="17">
        <f t="shared" si="35"/>
        <v>3751666.66</v>
      </c>
      <c r="J259" s="17">
        <f t="shared" si="35"/>
        <v>60000</v>
      </c>
      <c r="K259" s="17">
        <f t="shared" si="35"/>
        <v>174771.33000000002</v>
      </c>
      <c r="L259" s="17">
        <f t="shared" si="35"/>
        <v>2217813</v>
      </c>
      <c r="M259" s="17">
        <f t="shared" si="35"/>
        <v>0</v>
      </c>
      <c r="N259" s="17">
        <f t="shared" si="35"/>
        <v>0</v>
      </c>
      <c r="O259" s="17">
        <f t="shared" si="35"/>
        <v>2351300</v>
      </c>
      <c r="P259" s="17">
        <f t="shared" si="35"/>
        <v>208125</v>
      </c>
      <c r="Q259" s="17">
        <f t="shared" si="35"/>
        <v>640000</v>
      </c>
      <c r="R259" s="17">
        <f t="shared" si="35"/>
        <v>1080000</v>
      </c>
      <c r="S259" s="17">
        <f t="shared" si="35"/>
        <v>1044000</v>
      </c>
    </row>
    <row r="260" spans="1:19" ht="10.9" customHeight="1" x14ac:dyDescent="0.2">
      <c r="E260" s="13" t="s">
        <v>262</v>
      </c>
      <c r="G260" s="17">
        <f t="shared" ref="G260:S260" si="36">(0 + (G253 + G259))</f>
        <v>34793446.289999999</v>
      </c>
      <c r="H260" s="17">
        <f t="shared" si="36"/>
        <v>38782593</v>
      </c>
      <c r="I260" s="17">
        <f t="shared" si="36"/>
        <v>50351786.659999996</v>
      </c>
      <c r="J260" s="17">
        <f t="shared" si="36"/>
        <v>37295012</v>
      </c>
      <c r="K260" s="17">
        <f t="shared" si="36"/>
        <v>59850254.659999996</v>
      </c>
      <c r="L260" s="17">
        <f t="shared" si="36"/>
        <v>59721864.340000004</v>
      </c>
      <c r="M260" s="17">
        <f t="shared" si="36"/>
        <v>58605307.340000004</v>
      </c>
      <c r="N260" s="17">
        <f t="shared" si="36"/>
        <v>57341424.340000004</v>
      </c>
      <c r="O260" s="17">
        <f t="shared" si="36"/>
        <v>56976064.719999999</v>
      </c>
      <c r="P260" s="17">
        <f t="shared" si="36"/>
        <v>27419672.719999999</v>
      </c>
      <c r="Q260" s="17">
        <f t="shared" si="36"/>
        <v>24816635.719999999</v>
      </c>
      <c r="R260" s="17">
        <f t="shared" si="36"/>
        <v>19907443.719999999</v>
      </c>
      <c r="S260" s="17">
        <f t="shared" si="36"/>
        <v>21275897.719999999</v>
      </c>
    </row>
    <row r="261" spans="1:19" ht="10.9" customHeight="1" x14ac:dyDescent="0.2">
      <c r="D261" s="13" t="s">
        <v>263</v>
      </c>
      <c r="G261" s="17">
        <f t="shared" ref="G261:S261" si="37">(0 + (((G183 + G214) + G232) + G260))</f>
        <v>239634561.83000001</v>
      </c>
      <c r="H261" s="17">
        <f t="shared" si="37"/>
        <v>258545957.15000001</v>
      </c>
      <c r="I261" s="17">
        <f t="shared" si="37"/>
        <v>345924577.38</v>
      </c>
      <c r="J261" s="17">
        <f t="shared" si="37"/>
        <v>507262193.57999998</v>
      </c>
      <c r="K261" s="17">
        <f t="shared" si="37"/>
        <v>352130762.83000004</v>
      </c>
      <c r="L261" s="17">
        <f t="shared" si="37"/>
        <v>421096073.69000006</v>
      </c>
      <c r="M261" s="17">
        <f t="shared" si="37"/>
        <v>794802532.73000002</v>
      </c>
      <c r="N261" s="17">
        <f t="shared" si="37"/>
        <v>281841618.86000001</v>
      </c>
      <c r="O261" s="17">
        <f t="shared" si="37"/>
        <v>302215156.56000006</v>
      </c>
      <c r="P261" s="17">
        <f t="shared" si="37"/>
        <v>233477504.53999999</v>
      </c>
      <c r="Q261" s="17">
        <f t="shared" si="37"/>
        <v>189315691.87</v>
      </c>
      <c r="R261" s="17">
        <f t="shared" si="37"/>
        <v>225477608.06</v>
      </c>
      <c r="S261" s="17">
        <f t="shared" si="37"/>
        <v>276447306.99000001</v>
      </c>
    </row>
    <row r="262" spans="1:19" ht="10.9" customHeight="1" x14ac:dyDescent="0.2">
      <c r="F262" s="12" t="s">
        <v>264</v>
      </c>
      <c r="G262" s="16">
        <v>18808550.859999999</v>
      </c>
      <c r="H262" s="16">
        <v>80393106</v>
      </c>
      <c r="I262" s="16">
        <v>39416975.969999999</v>
      </c>
      <c r="J262" s="16">
        <v>102520951.61</v>
      </c>
      <c r="K262" s="16">
        <v>85112009.989999995</v>
      </c>
      <c r="L262" s="16">
        <v>135934696.65000001</v>
      </c>
      <c r="M262" s="16">
        <v>125947027.34</v>
      </c>
      <c r="N262" s="16">
        <v>99931929.659999996</v>
      </c>
      <c r="O262" s="16">
        <v>346488457.86000001</v>
      </c>
      <c r="P262" s="16">
        <v>110352226</v>
      </c>
      <c r="Q262" s="16">
        <v>33688590.020000003</v>
      </c>
      <c r="R262" s="16">
        <v>73010279</v>
      </c>
      <c r="S262" s="16">
        <v>83019227.400000006</v>
      </c>
    </row>
    <row r="263" spans="1:19" ht="10.9" customHeight="1" x14ac:dyDescent="0.2">
      <c r="C263" s="13" t="s">
        <v>265</v>
      </c>
      <c r="G263" s="17">
        <f t="shared" ref="G263:S263" si="38">(G262 + G261)</f>
        <v>258443112.69</v>
      </c>
      <c r="H263" s="17">
        <f t="shared" si="38"/>
        <v>338939063.14999998</v>
      </c>
      <c r="I263" s="17">
        <f t="shared" si="38"/>
        <v>385341553.35000002</v>
      </c>
      <c r="J263" s="17">
        <f t="shared" si="38"/>
        <v>609783145.18999994</v>
      </c>
      <c r="K263" s="17">
        <f t="shared" si="38"/>
        <v>437242772.82000005</v>
      </c>
      <c r="L263" s="17">
        <f t="shared" si="38"/>
        <v>557030770.34000003</v>
      </c>
      <c r="M263" s="17">
        <f t="shared" si="38"/>
        <v>920749560.07000005</v>
      </c>
      <c r="N263" s="17">
        <f t="shared" si="38"/>
        <v>381773548.51999998</v>
      </c>
      <c r="O263" s="17">
        <f t="shared" si="38"/>
        <v>648703614.42000008</v>
      </c>
      <c r="P263" s="17">
        <f t="shared" si="38"/>
        <v>343829730.53999996</v>
      </c>
      <c r="Q263" s="17">
        <f t="shared" si="38"/>
        <v>223004281.89000002</v>
      </c>
      <c r="R263" s="17">
        <f t="shared" si="38"/>
        <v>298487887.06</v>
      </c>
      <c r="S263" s="17">
        <f t="shared" si="38"/>
        <v>359466534.38999999</v>
      </c>
    </row>
    <row r="264" spans="1:19" ht="10.9" customHeight="1" x14ac:dyDescent="0.2">
      <c r="B264" s="13" t="s">
        <v>266</v>
      </c>
      <c r="G264" s="17">
        <f t="shared" ref="G264:S264" si="39">(0 + (G135 + G263))</f>
        <v>607363074.57999992</v>
      </c>
      <c r="H264" s="17">
        <f t="shared" si="39"/>
        <v>696305136.99000001</v>
      </c>
      <c r="I264" s="17">
        <f t="shared" si="39"/>
        <v>681307523.85000002</v>
      </c>
      <c r="J264" s="17">
        <f t="shared" si="39"/>
        <v>926963930.05999994</v>
      </c>
      <c r="K264" s="17">
        <f t="shared" si="39"/>
        <v>820201719.45000005</v>
      </c>
      <c r="L264" s="17">
        <f t="shared" si="39"/>
        <v>1184885057.54</v>
      </c>
      <c r="M264" s="17">
        <f t="shared" si="39"/>
        <v>1453521861.77</v>
      </c>
      <c r="N264" s="17">
        <f t="shared" si="39"/>
        <v>1002706802.86</v>
      </c>
      <c r="O264" s="17">
        <f t="shared" si="39"/>
        <v>1162580779.45</v>
      </c>
      <c r="P264" s="17">
        <f t="shared" si="39"/>
        <v>704725955.04999995</v>
      </c>
      <c r="Q264" s="17">
        <f t="shared" si="39"/>
        <v>424108898.38999999</v>
      </c>
      <c r="R264" s="17">
        <f t="shared" si="39"/>
        <v>541812226.05999994</v>
      </c>
      <c r="S264" s="17">
        <f t="shared" si="39"/>
        <v>497023586.38999999</v>
      </c>
    </row>
    <row r="265" spans="1:19" ht="10.9" customHeight="1" x14ac:dyDescent="0.2">
      <c r="A265" s="13" t="s">
        <v>266</v>
      </c>
      <c r="G265" s="17">
        <f t="shared" ref="G265:S265" si="40">(0 + (G71 + G264))</f>
        <v>794916635.57999992</v>
      </c>
      <c r="H265" s="17">
        <f t="shared" si="40"/>
        <v>872328005.99000001</v>
      </c>
      <c r="I265" s="17">
        <f t="shared" si="40"/>
        <v>830243964.85000002</v>
      </c>
      <c r="J265" s="17">
        <f t="shared" si="40"/>
        <v>1107848793.0599999</v>
      </c>
      <c r="K265" s="17">
        <f t="shared" si="40"/>
        <v>1062955627.08</v>
      </c>
      <c r="L265" s="17">
        <f t="shared" si="40"/>
        <v>1611553281.54</v>
      </c>
      <c r="M265" s="17">
        <f t="shared" si="40"/>
        <v>1799456601.3699999</v>
      </c>
      <c r="N265" s="17">
        <f t="shared" si="40"/>
        <v>1562675857.8600001</v>
      </c>
      <c r="O265" s="17">
        <f t="shared" si="40"/>
        <v>1570101318.03</v>
      </c>
      <c r="P265" s="17">
        <f t="shared" si="40"/>
        <v>921526538.04999995</v>
      </c>
      <c r="Q265" s="17">
        <f t="shared" si="40"/>
        <v>626942844.38999999</v>
      </c>
      <c r="R265" s="17">
        <f t="shared" si="40"/>
        <v>722916882.05999994</v>
      </c>
      <c r="S265" s="17">
        <f t="shared" si="40"/>
        <v>670383620.38999999</v>
      </c>
    </row>
    <row r="266" spans="1:19" ht="13.35" customHeight="1" x14ac:dyDescent="0.25"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s="9" customFormat="1" ht="12.2" customHeight="1" x14ac:dyDescent="0.2">
      <c r="A267" s="6" t="s">
        <v>267</v>
      </c>
      <c r="B267" s="6"/>
      <c r="C267" s="6"/>
      <c r="D267" s="6"/>
      <c r="E267" s="6"/>
      <c r="F267" s="6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 spans="1:19" ht="10.9" customHeight="1" x14ac:dyDescent="0.2">
      <c r="A268" s="11"/>
      <c r="B268" s="11" t="s">
        <v>268</v>
      </c>
      <c r="C268" s="11"/>
      <c r="D268" s="11"/>
      <c r="E268" s="11"/>
      <c r="F268" s="11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1:19" ht="10.9" customHeight="1" x14ac:dyDescent="0.2">
      <c r="A269" s="11"/>
      <c r="B269" s="11"/>
      <c r="C269" s="11" t="s">
        <v>269</v>
      </c>
      <c r="D269" s="11"/>
      <c r="E269" s="11"/>
      <c r="F269" s="11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1:19" ht="10.9" customHeight="1" x14ac:dyDescent="0.2">
      <c r="A270" s="11"/>
      <c r="B270" s="11"/>
      <c r="C270" s="11"/>
      <c r="D270" s="11" t="s">
        <v>270</v>
      </c>
      <c r="E270" s="11"/>
      <c r="F270" s="11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1:19" ht="10.9" customHeight="1" x14ac:dyDescent="0.2">
      <c r="F271" s="12" t="s">
        <v>271</v>
      </c>
      <c r="G271" s="16">
        <v>60438000</v>
      </c>
      <c r="H271" s="16">
        <v>67678077</v>
      </c>
      <c r="I271" s="16">
        <v>63407633</v>
      </c>
      <c r="J271" s="16">
        <v>60695000</v>
      </c>
      <c r="K271" s="16">
        <v>57575000</v>
      </c>
      <c r="L271" s="16">
        <v>59835274</v>
      </c>
      <c r="M271" s="16">
        <v>58080000</v>
      </c>
      <c r="N271" s="16">
        <v>59080000</v>
      </c>
      <c r="O271" s="16">
        <v>58830000</v>
      </c>
      <c r="P271" s="16">
        <v>58501214</v>
      </c>
      <c r="Q271" s="16">
        <v>47330000</v>
      </c>
      <c r="R271" s="16">
        <v>46330000</v>
      </c>
      <c r="S271" s="16">
        <v>44019000</v>
      </c>
    </row>
    <row r="272" spans="1:19" ht="10.9" customHeight="1" x14ac:dyDescent="0.2">
      <c r="F272" s="12" t="s">
        <v>272</v>
      </c>
      <c r="G272" s="16">
        <v>3001305</v>
      </c>
      <c r="H272" s="16">
        <v>3125792</v>
      </c>
      <c r="I272" s="16">
        <v>2944192</v>
      </c>
      <c r="J272" s="16">
        <v>2755553</v>
      </c>
      <c r="K272" s="16">
        <v>2755553</v>
      </c>
      <c r="L272" s="16">
        <v>2636832</v>
      </c>
      <c r="M272" s="16">
        <v>2546032</v>
      </c>
      <c r="N272" s="16">
        <v>2670882</v>
      </c>
      <c r="O272" s="16">
        <v>2670882</v>
      </c>
      <c r="P272" s="16">
        <v>2216882</v>
      </c>
      <c r="Q272" s="16">
        <v>2126082</v>
      </c>
      <c r="R272" s="16">
        <v>1724519</v>
      </c>
      <c r="S272" s="16">
        <v>1843240</v>
      </c>
    </row>
    <row r="273" spans="1:19" ht="10.9" customHeight="1" x14ac:dyDescent="0.2">
      <c r="F273" s="12" t="s">
        <v>273</v>
      </c>
      <c r="G273" s="16">
        <v>2644320</v>
      </c>
      <c r="H273" s="16">
        <v>2754000</v>
      </c>
      <c r="I273" s="16">
        <v>2594000</v>
      </c>
      <c r="J273" s="16">
        <v>2427800</v>
      </c>
      <c r="K273" s="16">
        <v>2427800</v>
      </c>
      <c r="L273" s="16">
        <v>2532400</v>
      </c>
      <c r="M273" s="16">
        <v>2243200</v>
      </c>
      <c r="N273" s="16">
        <v>2353200</v>
      </c>
      <c r="O273" s="16">
        <v>2353200</v>
      </c>
      <c r="P273" s="16">
        <v>1953200</v>
      </c>
      <c r="Q273" s="16">
        <v>1873200</v>
      </c>
      <c r="R273" s="16">
        <v>1833200</v>
      </c>
      <c r="S273" s="16">
        <v>1624000</v>
      </c>
    </row>
    <row r="274" spans="1:19" ht="10.9" customHeight="1" x14ac:dyDescent="0.2">
      <c r="F274" s="12" t="s">
        <v>274</v>
      </c>
      <c r="G274" s="16">
        <v>10073000</v>
      </c>
      <c r="H274" s="16">
        <v>11279680</v>
      </c>
      <c r="I274" s="16">
        <v>10567939</v>
      </c>
      <c r="J274" s="16">
        <v>10115833</v>
      </c>
      <c r="K274" s="16">
        <v>9595833</v>
      </c>
      <c r="L274" s="16">
        <v>9972546</v>
      </c>
      <c r="M274" s="16">
        <v>9680000</v>
      </c>
      <c r="N274" s="16">
        <v>9846667</v>
      </c>
      <c r="O274" s="16">
        <v>9805000</v>
      </c>
      <c r="P274" s="16">
        <v>9805000</v>
      </c>
      <c r="Q274" s="16">
        <v>7888333</v>
      </c>
      <c r="R274" s="16">
        <v>8157500</v>
      </c>
      <c r="S274" s="16">
        <v>7266667</v>
      </c>
    </row>
    <row r="275" spans="1:19" ht="10.9" customHeight="1" x14ac:dyDescent="0.2">
      <c r="F275" s="12" t="s">
        <v>275</v>
      </c>
      <c r="G275" s="16">
        <v>28200000</v>
      </c>
      <c r="H275" s="16">
        <v>29160000</v>
      </c>
      <c r="I275" s="16">
        <v>21120000</v>
      </c>
      <c r="J275" s="16">
        <v>20160000</v>
      </c>
      <c r="K275" s="16">
        <v>32400000</v>
      </c>
      <c r="L275" s="16">
        <v>63600000</v>
      </c>
      <c r="M275" s="16">
        <v>57240000</v>
      </c>
      <c r="N275" s="16">
        <v>61680000</v>
      </c>
      <c r="O275" s="16">
        <v>41880000</v>
      </c>
      <c r="P275" s="16">
        <v>15600000</v>
      </c>
      <c r="Q275" s="16">
        <v>15600000</v>
      </c>
      <c r="R275" s="16">
        <v>18000000</v>
      </c>
      <c r="S275" s="16">
        <v>8600000</v>
      </c>
    </row>
    <row r="276" spans="1:19" ht="10.9" customHeight="1" x14ac:dyDescent="0.2">
      <c r="F276" s="12" t="s">
        <v>276</v>
      </c>
      <c r="G276" s="16">
        <v>5578907.6600000001</v>
      </c>
      <c r="H276" s="16">
        <v>4547482.33</v>
      </c>
      <c r="I276" s="16">
        <v>5120831.67</v>
      </c>
      <c r="J276" s="16">
        <v>6294486.8399999999</v>
      </c>
      <c r="K276" s="16">
        <v>6083603.3499999996</v>
      </c>
      <c r="L276" s="16">
        <v>6630443.04</v>
      </c>
      <c r="M276" s="16">
        <v>6117295.8499999996</v>
      </c>
      <c r="N276" s="16">
        <v>7250159.54</v>
      </c>
      <c r="O276" s="16">
        <v>5891692.4800000004</v>
      </c>
      <c r="P276" s="16">
        <v>5795308.8499999996</v>
      </c>
      <c r="Q276" s="16">
        <v>6037427.7699999996</v>
      </c>
      <c r="R276" s="16">
        <v>5509058.1500000004</v>
      </c>
      <c r="S276" s="16">
        <v>4238730.55</v>
      </c>
    </row>
    <row r="277" spans="1:19" ht="10.9" customHeight="1" x14ac:dyDescent="0.2">
      <c r="D277" s="13" t="s">
        <v>277</v>
      </c>
      <c r="G277" s="17">
        <f t="shared" ref="G277:S277" si="41">SUM(G271:G276)</f>
        <v>109935532.66</v>
      </c>
      <c r="H277" s="17">
        <f t="shared" si="41"/>
        <v>118545031.33</v>
      </c>
      <c r="I277" s="17">
        <f t="shared" si="41"/>
        <v>105754595.67</v>
      </c>
      <c r="J277" s="17">
        <f t="shared" si="41"/>
        <v>102448672.84</v>
      </c>
      <c r="K277" s="17">
        <f t="shared" si="41"/>
        <v>110837789.34999999</v>
      </c>
      <c r="L277" s="17">
        <f t="shared" si="41"/>
        <v>145207495.03999999</v>
      </c>
      <c r="M277" s="17">
        <f t="shared" si="41"/>
        <v>135906527.84999999</v>
      </c>
      <c r="N277" s="17">
        <f t="shared" si="41"/>
        <v>142880908.53999999</v>
      </c>
      <c r="O277" s="17">
        <f t="shared" si="41"/>
        <v>121430774.48</v>
      </c>
      <c r="P277" s="17">
        <f t="shared" si="41"/>
        <v>93871604.849999994</v>
      </c>
      <c r="Q277" s="17">
        <f t="shared" si="41"/>
        <v>80855042.769999996</v>
      </c>
      <c r="R277" s="17">
        <f t="shared" si="41"/>
        <v>81554277.150000006</v>
      </c>
      <c r="S277" s="17">
        <f t="shared" si="41"/>
        <v>67591637.549999997</v>
      </c>
    </row>
    <row r="278" spans="1:19" ht="10.9" customHeight="1" x14ac:dyDescent="0.2">
      <c r="A278" s="11"/>
      <c r="B278" s="11"/>
      <c r="C278" s="11"/>
      <c r="D278" s="11" t="s">
        <v>278</v>
      </c>
      <c r="E278" s="11"/>
      <c r="F278" s="11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1:19" ht="10.9" customHeight="1" x14ac:dyDescent="0.2">
      <c r="F279" s="12" t="s">
        <v>279</v>
      </c>
      <c r="G279" s="16">
        <v>34200000</v>
      </c>
      <c r="H279" s="16">
        <v>37485112</v>
      </c>
      <c r="I279" s="16">
        <v>40768000</v>
      </c>
      <c r="J279" s="16">
        <v>40246370</v>
      </c>
      <c r="K279" s="16">
        <v>37345000</v>
      </c>
      <c r="L279" s="16">
        <v>32617671</v>
      </c>
      <c r="M279" s="16">
        <v>21426713</v>
      </c>
      <c r="N279" s="16">
        <v>34345000</v>
      </c>
      <c r="O279" s="16">
        <v>42220273</v>
      </c>
      <c r="P279" s="16">
        <v>46814905</v>
      </c>
      <c r="Q279" s="16">
        <v>44324330</v>
      </c>
      <c r="R279" s="16">
        <v>89134205</v>
      </c>
      <c r="S279" s="16">
        <v>89639383</v>
      </c>
    </row>
    <row r="280" spans="1:19" ht="10.9" customHeight="1" x14ac:dyDescent="0.2">
      <c r="F280" s="12" t="s">
        <v>280</v>
      </c>
      <c r="G280" s="16">
        <v>1474774</v>
      </c>
      <c r="H280" s="16">
        <v>1726381</v>
      </c>
      <c r="I280" s="16">
        <v>1850868</v>
      </c>
      <c r="J280" s="16">
        <v>1559263</v>
      </c>
      <c r="K280" s="16">
        <v>1559263</v>
      </c>
      <c r="L280" s="16">
        <v>1440542</v>
      </c>
      <c r="M280" s="16">
        <v>1440542</v>
      </c>
      <c r="N280" s="16">
        <v>2041184</v>
      </c>
      <c r="O280" s="16">
        <v>2041184</v>
      </c>
      <c r="P280" s="16">
        <v>1922463</v>
      </c>
      <c r="Q280" s="16">
        <v>1922463</v>
      </c>
      <c r="R280" s="16">
        <v>2194863</v>
      </c>
      <c r="S280" s="16">
        <v>1922463</v>
      </c>
    </row>
    <row r="281" spans="1:19" ht="10.9" customHeight="1" x14ac:dyDescent="0.2">
      <c r="F281" s="12" t="s">
        <v>281</v>
      </c>
      <c r="G281" s="16">
        <v>1059360</v>
      </c>
      <c r="H281" s="16">
        <v>1281040</v>
      </c>
      <c r="I281" s="16">
        <v>1390720</v>
      </c>
      <c r="J281" s="16">
        <v>1253800</v>
      </c>
      <c r="K281" s="16">
        <v>1133800</v>
      </c>
      <c r="L281" s="16">
        <v>1029200</v>
      </c>
      <c r="M281" s="16">
        <v>669200</v>
      </c>
      <c r="N281" s="16">
        <v>1558400</v>
      </c>
      <c r="O281" s="16">
        <v>1558400</v>
      </c>
      <c r="P281" s="16">
        <v>1558400</v>
      </c>
      <c r="Q281" s="16">
        <v>1678400</v>
      </c>
      <c r="R281" s="16">
        <v>1813800</v>
      </c>
      <c r="S281" s="16">
        <v>1805800</v>
      </c>
    </row>
    <row r="282" spans="1:19" ht="10.9" customHeight="1" x14ac:dyDescent="0.2">
      <c r="F282" s="12" t="s">
        <v>282</v>
      </c>
      <c r="G282" s="16">
        <v>5700000</v>
      </c>
      <c r="H282" s="16">
        <v>6247519</v>
      </c>
      <c r="I282" s="16">
        <v>6794667</v>
      </c>
      <c r="J282" s="16">
        <v>6707728</v>
      </c>
      <c r="K282" s="16">
        <v>6224167</v>
      </c>
      <c r="L282" s="16">
        <v>5436279</v>
      </c>
      <c r="M282" s="16">
        <v>5647594</v>
      </c>
      <c r="N282" s="16">
        <v>7493333</v>
      </c>
      <c r="O282" s="16">
        <v>8243333</v>
      </c>
      <c r="P282" s="16">
        <v>8679167</v>
      </c>
      <c r="Q282" s="16">
        <v>8493333</v>
      </c>
      <c r="R282" s="16">
        <v>9024167</v>
      </c>
      <c r="S282" s="16">
        <v>8524167</v>
      </c>
    </row>
    <row r="283" spans="1:19" ht="10.9" customHeight="1" x14ac:dyDescent="0.2">
      <c r="F283" s="12" t="s">
        <v>283</v>
      </c>
      <c r="G283" s="16">
        <v>11280000</v>
      </c>
      <c r="H283" s="16">
        <v>14760000</v>
      </c>
      <c r="I283" s="16">
        <v>10080000</v>
      </c>
      <c r="J283" s="16">
        <v>6000000</v>
      </c>
      <c r="K283" s="16">
        <v>11280000</v>
      </c>
      <c r="L283" s="16">
        <v>13560000</v>
      </c>
      <c r="M283" s="16">
        <v>15840000</v>
      </c>
      <c r="N283" s="16">
        <v>7680000</v>
      </c>
      <c r="O283" s="16">
        <v>7560000</v>
      </c>
      <c r="P283" s="16">
        <v>0</v>
      </c>
      <c r="Q283" s="16">
        <v>0</v>
      </c>
      <c r="R283" s="16">
        <v>0</v>
      </c>
      <c r="S283" s="16">
        <v>0</v>
      </c>
    </row>
    <row r="284" spans="1:19" ht="10.9" customHeight="1" x14ac:dyDescent="0.2">
      <c r="F284" s="12" t="s">
        <v>284</v>
      </c>
      <c r="G284" s="16">
        <v>3060596.66</v>
      </c>
      <c r="H284" s="16">
        <v>4503919.33</v>
      </c>
      <c r="I284" s="16">
        <v>4290873.67</v>
      </c>
      <c r="J284" s="16">
        <v>4981225.84</v>
      </c>
      <c r="K284" s="16">
        <v>6420552.8499999996</v>
      </c>
      <c r="L284" s="16">
        <v>6529926.54</v>
      </c>
      <c r="M284" s="16">
        <v>5128930.8499999996</v>
      </c>
      <c r="N284" s="16">
        <v>5534642.54</v>
      </c>
      <c r="O284" s="16">
        <v>5385794.4800000004</v>
      </c>
      <c r="P284" s="16">
        <v>4598171.8499999996</v>
      </c>
      <c r="Q284" s="16">
        <v>5311888.7699999996</v>
      </c>
      <c r="R284" s="16">
        <v>5202202.1500000004</v>
      </c>
      <c r="S284" s="16">
        <v>3670950.55</v>
      </c>
    </row>
    <row r="285" spans="1:19" ht="10.9" customHeight="1" x14ac:dyDescent="0.2">
      <c r="D285" s="13" t="s">
        <v>285</v>
      </c>
      <c r="G285" s="17">
        <f t="shared" ref="G285:S285" si="42">SUM(G279:G284)</f>
        <v>56774730.659999996</v>
      </c>
      <c r="H285" s="17">
        <f t="shared" si="42"/>
        <v>66003971.329999998</v>
      </c>
      <c r="I285" s="17">
        <f t="shared" si="42"/>
        <v>65175128.670000002</v>
      </c>
      <c r="J285" s="17">
        <f t="shared" si="42"/>
        <v>60748386.840000004</v>
      </c>
      <c r="K285" s="17">
        <f t="shared" si="42"/>
        <v>63962782.850000001</v>
      </c>
      <c r="L285" s="17">
        <f t="shared" si="42"/>
        <v>60613618.539999999</v>
      </c>
      <c r="M285" s="17">
        <f t="shared" si="42"/>
        <v>50152979.850000001</v>
      </c>
      <c r="N285" s="17">
        <f t="shared" si="42"/>
        <v>58652559.539999999</v>
      </c>
      <c r="O285" s="17">
        <f t="shared" si="42"/>
        <v>67008984.480000004</v>
      </c>
      <c r="P285" s="17">
        <f t="shared" si="42"/>
        <v>63573106.850000001</v>
      </c>
      <c r="Q285" s="17">
        <f t="shared" si="42"/>
        <v>61730414.769999996</v>
      </c>
      <c r="R285" s="17">
        <f t="shared" si="42"/>
        <v>107369237.15000001</v>
      </c>
      <c r="S285" s="17">
        <f t="shared" si="42"/>
        <v>105562763.55</v>
      </c>
    </row>
    <row r="286" spans="1:19" ht="10.9" customHeight="1" x14ac:dyDescent="0.2">
      <c r="C286" s="13" t="s">
        <v>286</v>
      </c>
      <c r="G286" s="17">
        <f t="shared" ref="G286:S286" si="43">(0 + (G277 + G285))</f>
        <v>166710263.31999999</v>
      </c>
      <c r="H286" s="17">
        <f t="shared" si="43"/>
        <v>184549002.66</v>
      </c>
      <c r="I286" s="17">
        <f t="shared" si="43"/>
        <v>170929724.34</v>
      </c>
      <c r="J286" s="17">
        <f t="shared" si="43"/>
        <v>163197059.68000001</v>
      </c>
      <c r="K286" s="17">
        <f t="shared" si="43"/>
        <v>174800572.19999999</v>
      </c>
      <c r="L286" s="17">
        <f t="shared" si="43"/>
        <v>205821113.57999998</v>
      </c>
      <c r="M286" s="17">
        <f t="shared" si="43"/>
        <v>186059507.69999999</v>
      </c>
      <c r="N286" s="17">
        <f t="shared" si="43"/>
        <v>201533468.07999998</v>
      </c>
      <c r="O286" s="17">
        <f t="shared" si="43"/>
        <v>188439758.96000001</v>
      </c>
      <c r="P286" s="17">
        <f t="shared" si="43"/>
        <v>157444711.69999999</v>
      </c>
      <c r="Q286" s="17">
        <f t="shared" si="43"/>
        <v>142585457.53999999</v>
      </c>
      <c r="R286" s="17">
        <f t="shared" si="43"/>
        <v>188923514.30000001</v>
      </c>
      <c r="S286" s="17">
        <f t="shared" si="43"/>
        <v>173154401.09999999</v>
      </c>
    </row>
    <row r="287" spans="1:19" ht="10.9" customHeight="1" x14ac:dyDescent="0.2">
      <c r="A287" s="11"/>
      <c r="B287" s="11"/>
      <c r="C287" s="11" t="s">
        <v>287</v>
      </c>
      <c r="D287" s="11"/>
      <c r="E287" s="11"/>
      <c r="F287" s="11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1:19" ht="10.9" customHeight="1" x14ac:dyDescent="0.2">
      <c r="F288" s="12" t="s">
        <v>288</v>
      </c>
      <c r="G288" s="16">
        <v>79503144</v>
      </c>
      <c r="H288" s="16">
        <v>85109321</v>
      </c>
      <c r="I288" s="16">
        <v>88394000</v>
      </c>
      <c r="J288" s="16">
        <v>97005000</v>
      </c>
      <c r="K288" s="16">
        <v>96766034</v>
      </c>
      <c r="L288" s="16">
        <v>95555468</v>
      </c>
      <c r="M288" s="16">
        <v>94740000</v>
      </c>
      <c r="N288" s="16">
        <v>84860219</v>
      </c>
      <c r="O288" s="16">
        <v>115317002</v>
      </c>
      <c r="P288" s="16">
        <v>100248312</v>
      </c>
      <c r="Q288" s="16">
        <v>93271987</v>
      </c>
      <c r="R288" s="16">
        <v>91430415</v>
      </c>
      <c r="S288" s="16">
        <v>87195000</v>
      </c>
    </row>
    <row r="289" spans="1:19" ht="10.9" customHeight="1" x14ac:dyDescent="0.2">
      <c r="F289" s="12" t="s">
        <v>289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106849.3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</row>
    <row r="290" spans="1:19" ht="10.9" customHeight="1" x14ac:dyDescent="0.2">
      <c r="F290" s="12" t="s">
        <v>290</v>
      </c>
      <c r="G290" s="16">
        <v>3470196</v>
      </c>
      <c r="H290" s="16">
        <v>3995610</v>
      </c>
      <c r="I290" s="16">
        <v>3995610</v>
      </c>
      <c r="J290" s="16">
        <v>3932548</v>
      </c>
      <c r="K290" s="16">
        <v>3932548</v>
      </c>
      <c r="L290" s="16">
        <v>3932548</v>
      </c>
      <c r="M290" s="16">
        <v>3470830</v>
      </c>
      <c r="N290" s="16">
        <v>4918409</v>
      </c>
      <c r="O290" s="16">
        <v>4265330</v>
      </c>
      <c r="P290" s="16">
        <v>4146609</v>
      </c>
      <c r="Q290" s="16">
        <v>4146609</v>
      </c>
      <c r="R290" s="16">
        <v>3790446</v>
      </c>
      <c r="S290" s="16">
        <v>3790446</v>
      </c>
    </row>
    <row r="291" spans="1:19" ht="10.9" customHeight="1" x14ac:dyDescent="0.2">
      <c r="F291" s="12" t="s">
        <v>291</v>
      </c>
      <c r="G291" s="16">
        <v>3057440</v>
      </c>
      <c r="H291" s="16">
        <v>3630040</v>
      </c>
      <c r="I291" s="16">
        <v>3520360</v>
      </c>
      <c r="J291" s="16">
        <v>3464800</v>
      </c>
      <c r="K291" s="16">
        <v>3464800</v>
      </c>
      <c r="L291" s="16">
        <v>3464800</v>
      </c>
      <c r="M291" s="16">
        <v>3142600</v>
      </c>
      <c r="N291" s="16">
        <v>3902600</v>
      </c>
      <c r="O291" s="16">
        <v>3902600</v>
      </c>
      <c r="P291" s="16">
        <v>3013400</v>
      </c>
      <c r="Q291" s="16">
        <v>3013400</v>
      </c>
      <c r="R291" s="16">
        <v>3013400</v>
      </c>
      <c r="S291" s="16">
        <v>2908800</v>
      </c>
    </row>
    <row r="292" spans="1:19" ht="10.9" customHeight="1" x14ac:dyDescent="0.2">
      <c r="F292" s="12" t="s">
        <v>292</v>
      </c>
      <c r="G292" s="16">
        <v>13250524</v>
      </c>
      <c r="H292" s="16">
        <v>14184887</v>
      </c>
      <c r="I292" s="16">
        <v>14732333</v>
      </c>
      <c r="J292" s="16">
        <v>16167500</v>
      </c>
      <c r="K292" s="16">
        <v>16127672</v>
      </c>
      <c r="L292" s="16">
        <v>15925911</v>
      </c>
      <c r="M292" s="16">
        <v>15970000</v>
      </c>
      <c r="N292" s="16">
        <v>19853333</v>
      </c>
      <c r="O292" s="16">
        <v>25194823</v>
      </c>
      <c r="P292" s="16">
        <v>18621667</v>
      </c>
      <c r="Q292" s="16">
        <v>18429167</v>
      </c>
      <c r="R292" s="16">
        <v>17333833</v>
      </c>
      <c r="S292" s="16">
        <v>15356667</v>
      </c>
    </row>
    <row r="293" spans="1:19" ht="10.9" customHeight="1" x14ac:dyDescent="0.2">
      <c r="F293" s="12" t="s">
        <v>293</v>
      </c>
      <c r="G293" s="16">
        <v>12600000</v>
      </c>
      <c r="H293" s="16">
        <v>16440000</v>
      </c>
      <c r="I293" s="16">
        <v>6480000</v>
      </c>
      <c r="J293" s="16">
        <v>21120000</v>
      </c>
      <c r="K293" s="16">
        <v>36480000</v>
      </c>
      <c r="L293" s="16">
        <v>48000000</v>
      </c>
      <c r="M293" s="16">
        <v>42720000</v>
      </c>
      <c r="N293" s="16">
        <v>46800000</v>
      </c>
      <c r="O293" s="16">
        <v>27960000</v>
      </c>
      <c r="P293" s="16">
        <v>14400000</v>
      </c>
      <c r="Q293" s="16">
        <v>5520000</v>
      </c>
      <c r="R293" s="16">
        <v>7320000</v>
      </c>
      <c r="S293" s="16">
        <v>9020000</v>
      </c>
    </row>
    <row r="294" spans="1:19" ht="10.9" customHeight="1" x14ac:dyDescent="0.2">
      <c r="F294" s="12" t="s">
        <v>294</v>
      </c>
      <c r="G294" s="16">
        <v>6959073.6600000001</v>
      </c>
      <c r="H294" s="16">
        <v>6044190.8300000001</v>
      </c>
      <c r="I294" s="16">
        <v>7019732.6699999999</v>
      </c>
      <c r="J294" s="16">
        <v>8321966.8399999999</v>
      </c>
      <c r="K294" s="16">
        <v>8656802.6799999997</v>
      </c>
      <c r="L294" s="16">
        <v>8555869.5399999991</v>
      </c>
      <c r="M294" s="16">
        <v>8060206.8499999996</v>
      </c>
      <c r="N294" s="16">
        <v>8272537.54</v>
      </c>
      <c r="O294" s="16">
        <v>7826227.4800000004</v>
      </c>
      <c r="P294" s="16">
        <v>8169899.8499999996</v>
      </c>
      <c r="Q294" s="16">
        <v>8316463.7699999996</v>
      </c>
      <c r="R294" s="16">
        <v>8492601.1500000004</v>
      </c>
      <c r="S294" s="16">
        <v>6631518.5499999998</v>
      </c>
    </row>
    <row r="295" spans="1:19" ht="10.9" customHeight="1" x14ac:dyDescent="0.2">
      <c r="C295" s="13" t="s">
        <v>295</v>
      </c>
      <c r="G295" s="17">
        <f t="shared" ref="G295:S295" si="44">SUM(G288:G294)</f>
        <v>118840377.66</v>
      </c>
      <c r="H295" s="17">
        <f t="shared" si="44"/>
        <v>129404048.83</v>
      </c>
      <c r="I295" s="17">
        <f t="shared" si="44"/>
        <v>124142035.67</v>
      </c>
      <c r="J295" s="17">
        <f t="shared" si="44"/>
        <v>150011814.84</v>
      </c>
      <c r="K295" s="17">
        <f t="shared" si="44"/>
        <v>165427856.68000001</v>
      </c>
      <c r="L295" s="17">
        <f t="shared" si="44"/>
        <v>175434596.53999999</v>
      </c>
      <c r="M295" s="17">
        <f t="shared" si="44"/>
        <v>168103636.84999999</v>
      </c>
      <c r="N295" s="17">
        <f t="shared" si="44"/>
        <v>168713947.84</v>
      </c>
      <c r="O295" s="17">
        <f t="shared" si="44"/>
        <v>184465982.47999999</v>
      </c>
      <c r="P295" s="17">
        <f t="shared" si="44"/>
        <v>148599887.84999999</v>
      </c>
      <c r="Q295" s="17">
        <f t="shared" si="44"/>
        <v>132697626.77</v>
      </c>
      <c r="R295" s="17">
        <f t="shared" si="44"/>
        <v>131380695.15000001</v>
      </c>
      <c r="S295" s="17">
        <f t="shared" si="44"/>
        <v>124902431.55</v>
      </c>
    </row>
    <row r="296" spans="1:19" ht="10.9" customHeight="1" x14ac:dyDescent="0.2">
      <c r="A296" s="11"/>
      <c r="B296" s="11"/>
      <c r="C296" s="11" t="s">
        <v>296</v>
      </c>
      <c r="D296" s="11"/>
      <c r="E296" s="11"/>
      <c r="F296" s="11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1:19" ht="10.9" customHeight="1" x14ac:dyDescent="0.2">
      <c r="F297" s="12" t="s">
        <v>297</v>
      </c>
      <c r="G297" s="16">
        <v>13653918</v>
      </c>
      <c r="H297" s="16">
        <v>14500000</v>
      </c>
      <c r="I297" s="16">
        <v>15790410</v>
      </c>
      <c r="J297" s="16">
        <v>28500000</v>
      </c>
      <c r="K297" s="16">
        <v>28500000</v>
      </c>
      <c r="L297" s="16">
        <v>25245206</v>
      </c>
      <c r="M297" s="16">
        <v>11220549</v>
      </c>
      <c r="N297" s="16">
        <v>10047877</v>
      </c>
      <c r="O297" s="16">
        <v>10438220</v>
      </c>
      <c r="P297" s="16">
        <v>8030000</v>
      </c>
      <c r="Q297" s="16">
        <v>8030000</v>
      </c>
      <c r="R297" s="16">
        <v>8030000</v>
      </c>
      <c r="S297" s="16">
        <v>8818000</v>
      </c>
    </row>
    <row r="298" spans="1:19" ht="10.9" customHeight="1" x14ac:dyDescent="0.2">
      <c r="F298" s="12" t="s">
        <v>298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550000</v>
      </c>
      <c r="N298" s="16">
        <v>550000</v>
      </c>
      <c r="O298" s="16">
        <v>550000</v>
      </c>
      <c r="P298" s="16">
        <v>0</v>
      </c>
      <c r="Q298" s="16">
        <v>0</v>
      </c>
      <c r="R298" s="16">
        <v>0</v>
      </c>
      <c r="S298" s="16">
        <v>0</v>
      </c>
    </row>
    <row r="299" spans="1:19" ht="10.9" customHeight="1" x14ac:dyDescent="0.2">
      <c r="F299" s="12" t="s">
        <v>299</v>
      </c>
      <c r="G299" s="16">
        <v>658300</v>
      </c>
      <c r="H299" s="16">
        <v>794500</v>
      </c>
      <c r="I299" s="16">
        <v>794500</v>
      </c>
      <c r="J299" s="16">
        <v>1293900</v>
      </c>
      <c r="K299" s="16">
        <v>1293900</v>
      </c>
      <c r="L299" s="16">
        <v>794500</v>
      </c>
      <c r="M299" s="16">
        <v>245841</v>
      </c>
      <c r="N299" s="16">
        <v>518241</v>
      </c>
      <c r="O299" s="16">
        <v>382041</v>
      </c>
      <c r="P299" s="16">
        <v>382041</v>
      </c>
      <c r="Q299" s="16">
        <v>382041</v>
      </c>
      <c r="R299" s="16">
        <v>382041</v>
      </c>
      <c r="S299" s="16">
        <v>382041</v>
      </c>
    </row>
    <row r="300" spans="1:19" ht="10.9" customHeight="1" x14ac:dyDescent="0.2">
      <c r="F300" s="12" t="s">
        <v>300</v>
      </c>
      <c r="G300" s="16">
        <v>580000</v>
      </c>
      <c r="H300" s="16">
        <v>700000</v>
      </c>
      <c r="I300" s="16">
        <v>700000</v>
      </c>
      <c r="J300" s="16">
        <v>1140000</v>
      </c>
      <c r="K300" s="16">
        <v>1140000</v>
      </c>
      <c r="L300" s="16">
        <v>1140000</v>
      </c>
      <c r="M300" s="16">
        <v>336600</v>
      </c>
      <c r="N300" s="16">
        <v>456600</v>
      </c>
      <c r="O300" s="16">
        <v>456600</v>
      </c>
      <c r="P300" s="16">
        <v>336600</v>
      </c>
      <c r="Q300" s="16">
        <v>336600</v>
      </c>
      <c r="R300" s="16">
        <v>336600</v>
      </c>
      <c r="S300" s="16">
        <v>336600</v>
      </c>
    </row>
    <row r="301" spans="1:19" ht="10.9" customHeight="1" x14ac:dyDescent="0.2">
      <c r="F301" s="12" t="s">
        <v>301</v>
      </c>
      <c r="G301" s="16">
        <v>2275653</v>
      </c>
      <c r="H301" s="16">
        <v>2416667</v>
      </c>
      <c r="I301" s="16">
        <v>2631735</v>
      </c>
      <c r="J301" s="16">
        <v>4750000</v>
      </c>
      <c r="K301" s="16">
        <v>4750000</v>
      </c>
      <c r="L301" s="16">
        <v>4207534</v>
      </c>
      <c r="M301" s="16">
        <v>1870092</v>
      </c>
      <c r="N301" s="16">
        <v>2505000</v>
      </c>
      <c r="O301" s="16">
        <v>1838333</v>
      </c>
      <c r="P301" s="16">
        <v>1338333</v>
      </c>
      <c r="Q301" s="16">
        <v>1338333</v>
      </c>
      <c r="R301" s="16">
        <v>1338333</v>
      </c>
      <c r="S301" s="16">
        <v>1402500</v>
      </c>
    </row>
    <row r="302" spans="1:19" ht="10.9" customHeight="1" x14ac:dyDescent="0.2">
      <c r="F302" s="12" t="s">
        <v>302</v>
      </c>
      <c r="G302" s="16">
        <v>5520000</v>
      </c>
      <c r="H302" s="16">
        <v>4320000</v>
      </c>
      <c r="I302" s="16">
        <v>1560000</v>
      </c>
      <c r="J302" s="16">
        <v>3960000</v>
      </c>
      <c r="K302" s="16">
        <v>9360000</v>
      </c>
      <c r="L302" s="16">
        <v>7440000</v>
      </c>
      <c r="M302" s="16">
        <v>4440000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</row>
    <row r="303" spans="1:19" ht="10.9" customHeight="1" x14ac:dyDescent="0.2">
      <c r="F303" s="12" t="s">
        <v>303</v>
      </c>
      <c r="G303" s="16">
        <v>1500950.66</v>
      </c>
      <c r="H303" s="16">
        <v>1283656.3400000001</v>
      </c>
      <c r="I303" s="16">
        <v>1502640.67</v>
      </c>
      <c r="J303" s="16">
        <v>2319440.85</v>
      </c>
      <c r="K303" s="16">
        <v>3008653.85</v>
      </c>
      <c r="L303" s="16">
        <v>3557128.04</v>
      </c>
      <c r="M303" s="16">
        <v>4411857.8499999996</v>
      </c>
      <c r="N303" s="16">
        <v>4762915.53</v>
      </c>
      <c r="O303" s="16">
        <v>4103821.48</v>
      </c>
      <c r="P303" s="16">
        <v>1570684.85</v>
      </c>
      <c r="Q303" s="16">
        <v>1516401.77</v>
      </c>
      <c r="R303" s="16">
        <v>1346019.15</v>
      </c>
      <c r="S303" s="16">
        <v>1120199.5</v>
      </c>
    </row>
    <row r="304" spans="1:19" ht="10.9" customHeight="1" x14ac:dyDescent="0.2">
      <c r="C304" s="13" t="s">
        <v>304</v>
      </c>
      <c r="G304" s="17">
        <f t="shared" ref="G304:S304" si="45">SUM(G297:G303)</f>
        <v>24188821.66</v>
      </c>
      <c r="H304" s="17">
        <f t="shared" si="45"/>
        <v>24014823.34</v>
      </c>
      <c r="I304" s="17">
        <f t="shared" si="45"/>
        <v>22979285.670000002</v>
      </c>
      <c r="J304" s="17">
        <f t="shared" si="45"/>
        <v>41963340.850000001</v>
      </c>
      <c r="K304" s="17">
        <f t="shared" si="45"/>
        <v>48052553.850000001</v>
      </c>
      <c r="L304" s="17">
        <f t="shared" si="45"/>
        <v>42384368.039999999</v>
      </c>
      <c r="M304" s="17">
        <f t="shared" si="45"/>
        <v>23074939.850000001</v>
      </c>
      <c r="N304" s="17">
        <f t="shared" si="45"/>
        <v>18840633.530000001</v>
      </c>
      <c r="O304" s="17">
        <f t="shared" si="45"/>
        <v>17769015.48</v>
      </c>
      <c r="P304" s="17">
        <f t="shared" si="45"/>
        <v>11657658.85</v>
      </c>
      <c r="Q304" s="17">
        <f t="shared" si="45"/>
        <v>11603375.77</v>
      </c>
      <c r="R304" s="17">
        <f t="shared" si="45"/>
        <v>11432993.15</v>
      </c>
      <c r="S304" s="17">
        <f t="shared" si="45"/>
        <v>12059340.5</v>
      </c>
    </row>
    <row r="305" spans="1:19" ht="10.9" customHeight="1" x14ac:dyDescent="0.2">
      <c r="B305" s="13" t="s">
        <v>305</v>
      </c>
      <c r="G305" s="17">
        <f t="shared" ref="G305:S305" si="46">(0 + ((G286 + G295) + G304))</f>
        <v>309739462.64000005</v>
      </c>
      <c r="H305" s="17">
        <f t="shared" si="46"/>
        <v>337967874.82999998</v>
      </c>
      <c r="I305" s="17">
        <f t="shared" si="46"/>
        <v>318051045.68000001</v>
      </c>
      <c r="J305" s="17">
        <f t="shared" si="46"/>
        <v>355172215.37</v>
      </c>
      <c r="K305" s="17">
        <f t="shared" si="46"/>
        <v>388280982.73000002</v>
      </c>
      <c r="L305" s="17">
        <f t="shared" si="46"/>
        <v>423640078.16000003</v>
      </c>
      <c r="M305" s="17">
        <f t="shared" si="46"/>
        <v>377238084.39999998</v>
      </c>
      <c r="N305" s="17">
        <f t="shared" si="46"/>
        <v>389088049.44999993</v>
      </c>
      <c r="O305" s="17">
        <f t="shared" si="46"/>
        <v>390674756.92000002</v>
      </c>
      <c r="P305" s="17">
        <f t="shared" si="46"/>
        <v>317702258.39999998</v>
      </c>
      <c r="Q305" s="17">
        <f t="shared" si="46"/>
        <v>286886460.07999998</v>
      </c>
      <c r="R305" s="17">
        <f t="shared" si="46"/>
        <v>331737202.60000002</v>
      </c>
      <c r="S305" s="17">
        <f t="shared" si="46"/>
        <v>310116173.14999998</v>
      </c>
    </row>
    <row r="306" spans="1:19" ht="10.9" customHeight="1" x14ac:dyDescent="0.2">
      <c r="A306" s="11"/>
      <c r="B306" s="11" t="s">
        <v>306</v>
      </c>
      <c r="C306" s="11"/>
      <c r="D306" s="11"/>
      <c r="E306" s="11"/>
      <c r="F306" s="11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1:19" ht="10.9" customHeight="1" x14ac:dyDescent="0.2">
      <c r="A307" s="11"/>
      <c r="B307" s="11"/>
      <c r="C307" s="11" t="s">
        <v>307</v>
      </c>
      <c r="D307" s="11"/>
      <c r="E307" s="11"/>
      <c r="F307" s="11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1:19" ht="10.9" customHeight="1" x14ac:dyDescent="0.2">
      <c r="A308" s="11"/>
      <c r="B308" s="11"/>
      <c r="C308" s="11"/>
      <c r="D308" s="11" t="s">
        <v>308</v>
      </c>
      <c r="E308" s="11"/>
      <c r="F308" s="11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1:19" ht="10.9" customHeight="1" x14ac:dyDescent="0.2">
      <c r="F309" s="12" t="s">
        <v>309</v>
      </c>
      <c r="G309" s="16">
        <v>68278000</v>
      </c>
      <c r="H309" s="16">
        <v>65750000</v>
      </c>
      <c r="I309" s="16">
        <v>65750000</v>
      </c>
      <c r="J309" s="16">
        <v>64351905</v>
      </c>
      <c r="K309" s="16">
        <v>61750000</v>
      </c>
      <c r="L309" s="16">
        <v>61586704</v>
      </c>
      <c r="M309" s="16">
        <v>-31660389</v>
      </c>
      <c r="N309" s="16">
        <v>104916375</v>
      </c>
      <c r="O309" s="16">
        <v>103263699</v>
      </c>
      <c r="P309" s="16">
        <v>88607143</v>
      </c>
      <c r="Q309" s="16">
        <v>87750000</v>
      </c>
      <c r="R309" s="16">
        <v>87750000</v>
      </c>
      <c r="S309" s="16">
        <v>88778000</v>
      </c>
    </row>
    <row r="310" spans="1:19" ht="10.9" customHeight="1" x14ac:dyDescent="0.2">
      <c r="F310" s="12" t="s">
        <v>310</v>
      </c>
      <c r="G310" s="16">
        <v>7605921</v>
      </c>
      <c r="H310" s="16">
        <v>2013713</v>
      </c>
      <c r="I310" s="16">
        <v>4267346</v>
      </c>
      <c r="J310" s="16">
        <v>-1120114</v>
      </c>
      <c r="K310" s="16">
        <v>2097251</v>
      </c>
      <c r="L310" s="16">
        <v>2074374</v>
      </c>
      <c r="M310" s="16">
        <v>-9182237</v>
      </c>
      <c r="N310" s="16">
        <v>9088677</v>
      </c>
      <c r="O310" s="16">
        <v>8632498</v>
      </c>
      <c r="P310" s="16">
        <v>8609548</v>
      </c>
      <c r="Q310" s="16">
        <v>8559481</v>
      </c>
      <c r="R310" s="16">
        <v>8243993</v>
      </c>
      <c r="S310" s="16">
        <v>20305753</v>
      </c>
    </row>
    <row r="311" spans="1:19" ht="10.9" customHeight="1" x14ac:dyDescent="0.2">
      <c r="F311" s="12" t="s">
        <v>311</v>
      </c>
      <c r="G311" s="16">
        <v>2880150</v>
      </c>
      <c r="H311" s="16">
        <v>3969750</v>
      </c>
      <c r="I311" s="16">
        <v>2880150</v>
      </c>
      <c r="J311" s="16">
        <v>3480150</v>
      </c>
      <c r="K311" s="16">
        <v>2698550</v>
      </c>
      <c r="L311" s="16">
        <v>2630450</v>
      </c>
      <c r="M311" s="16">
        <v>-826470</v>
      </c>
      <c r="N311" s="16">
        <v>4485330</v>
      </c>
      <c r="O311" s="16">
        <v>3804330</v>
      </c>
      <c r="P311" s="16">
        <v>3804330</v>
      </c>
      <c r="Q311" s="16">
        <v>3736230</v>
      </c>
      <c r="R311" s="16">
        <v>3736230</v>
      </c>
      <c r="S311" s="16">
        <v>3736230</v>
      </c>
    </row>
    <row r="312" spans="1:19" ht="10.9" customHeight="1" x14ac:dyDescent="0.2">
      <c r="F312" s="12" t="s">
        <v>312</v>
      </c>
      <c r="G312" s="16">
        <v>1922000</v>
      </c>
      <c r="H312" s="16">
        <v>2210000</v>
      </c>
      <c r="I312" s="16">
        <v>1922000</v>
      </c>
      <c r="J312" s="16">
        <v>1922000</v>
      </c>
      <c r="K312" s="16">
        <v>1874000</v>
      </c>
      <c r="L312" s="16">
        <v>1874000</v>
      </c>
      <c r="M312" s="16">
        <v>346000</v>
      </c>
      <c r="N312" s="16">
        <v>2650000</v>
      </c>
      <c r="O312" s="16">
        <v>2650000</v>
      </c>
      <c r="P312" s="16">
        <v>2170000</v>
      </c>
      <c r="Q312" s="16">
        <v>2110000</v>
      </c>
      <c r="R312" s="16">
        <v>2110000</v>
      </c>
      <c r="S312" s="16">
        <v>2110000</v>
      </c>
    </row>
    <row r="313" spans="1:19" ht="10.9" customHeight="1" x14ac:dyDescent="0.2">
      <c r="F313" s="12" t="s">
        <v>313</v>
      </c>
      <c r="G313" s="16">
        <v>11379667</v>
      </c>
      <c r="H313" s="16">
        <v>10958333</v>
      </c>
      <c r="I313" s="16">
        <v>10958333</v>
      </c>
      <c r="J313" s="16">
        <v>10725318</v>
      </c>
      <c r="K313" s="16">
        <v>10291667</v>
      </c>
      <c r="L313" s="16">
        <v>10264451</v>
      </c>
      <c r="M313" s="16">
        <v>17731667</v>
      </c>
      <c r="N313" s="16">
        <v>17375000</v>
      </c>
      <c r="O313" s="16">
        <v>17375000</v>
      </c>
      <c r="P313" s="16">
        <v>14875000</v>
      </c>
      <c r="Q313" s="16">
        <v>14625000</v>
      </c>
      <c r="R313" s="16">
        <v>14625000</v>
      </c>
      <c r="S313" s="16">
        <v>14458333</v>
      </c>
    </row>
    <row r="314" spans="1:19" ht="10.9" customHeight="1" x14ac:dyDescent="0.2">
      <c r="F314" s="12" t="s">
        <v>314</v>
      </c>
      <c r="G314" s="16">
        <v>2597340.66</v>
      </c>
      <c r="H314" s="16">
        <v>2315154.33</v>
      </c>
      <c r="I314" s="16">
        <v>3289946.67</v>
      </c>
      <c r="J314" s="16">
        <v>4269706.84</v>
      </c>
      <c r="K314" s="16">
        <v>5681802.5199999996</v>
      </c>
      <c r="L314" s="16">
        <v>6039623.04</v>
      </c>
      <c r="M314" s="16">
        <v>5204609.3</v>
      </c>
      <c r="N314" s="16">
        <v>5855125.54</v>
      </c>
      <c r="O314" s="16">
        <v>5860554.9800000004</v>
      </c>
      <c r="P314" s="16">
        <v>4975332.8499999996</v>
      </c>
      <c r="Q314" s="16">
        <v>7967794.7699999996</v>
      </c>
      <c r="R314" s="16">
        <v>6706892.1500000004</v>
      </c>
      <c r="S314" s="16">
        <v>6120594.5499999998</v>
      </c>
    </row>
    <row r="315" spans="1:19" ht="10.9" customHeight="1" x14ac:dyDescent="0.2">
      <c r="D315" s="13" t="s">
        <v>315</v>
      </c>
      <c r="G315" s="17">
        <f t="shared" ref="G315:S315" si="47">SUM(G309:G314)</f>
        <v>94663078.659999996</v>
      </c>
      <c r="H315" s="17">
        <f t="shared" si="47"/>
        <v>87216950.329999998</v>
      </c>
      <c r="I315" s="17">
        <f t="shared" si="47"/>
        <v>89067775.670000002</v>
      </c>
      <c r="J315" s="17">
        <f t="shared" si="47"/>
        <v>83628965.840000004</v>
      </c>
      <c r="K315" s="17">
        <f t="shared" si="47"/>
        <v>84393270.519999996</v>
      </c>
      <c r="L315" s="17">
        <f t="shared" si="47"/>
        <v>84469602.040000007</v>
      </c>
      <c r="M315" s="17">
        <f t="shared" si="47"/>
        <v>-18386819.699999999</v>
      </c>
      <c r="N315" s="17">
        <f t="shared" si="47"/>
        <v>144370507.53999999</v>
      </c>
      <c r="O315" s="17">
        <f t="shared" si="47"/>
        <v>141586081.97999999</v>
      </c>
      <c r="P315" s="17">
        <f t="shared" si="47"/>
        <v>123041353.84999999</v>
      </c>
      <c r="Q315" s="17">
        <f t="shared" si="47"/>
        <v>124748505.77</v>
      </c>
      <c r="R315" s="17">
        <f t="shared" si="47"/>
        <v>123172115.15000001</v>
      </c>
      <c r="S315" s="17">
        <f t="shared" si="47"/>
        <v>135508910.55000001</v>
      </c>
    </row>
    <row r="316" spans="1:19" ht="10.9" customHeight="1" x14ac:dyDescent="0.2">
      <c r="A316" s="11"/>
      <c r="B316" s="11"/>
      <c r="C316" s="11"/>
      <c r="D316" s="11" t="s">
        <v>307</v>
      </c>
      <c r="E316" s="11"/>
      <c r="F316" s="11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1:19" ht="10.9" customHeight="1" x14ac:dyDescent="0.2">
      <c r="F317" s="12" t="s">
        <v>316</v>
      </c>
      <c r="G317" s="16">
        <v>37273000</v>
      </c>
      <c r="H317" s="16">
        <v>37000000</v>
      </c>
      <c r="I317" s="16">
        <v>37000000</v>
      </c>
      <c r="J317" s="16">
        <v>36703704</v>
      </c>
      <c r="K317" s="16">
        <v>36000000</v>
      </c>
      <c r="L317" s="16">
        <v>36000000</v>
      </c>
      <c r="M317" s="16">
        <v>34224658</v>
      </c>
      <c r="N317" s="16">
        <v>30000000</v>
      </c>
      <c r="O317" s="16">
        <v>25000000</v>
      </c>
      <c r="P317" s="16">
        <v>25000000</v>
      </c>
      <c r="Q317" s="16">
        <v>25000000</v>
      </c>
      <c r="R317" s="16">
        <v>25000000</v>
      </c>
      <c r="S317" s="16">
        <v>25780000</v>
      </c>
    </row>
    <row r="318" spans="1:19" ht="10.9" customHeight="1" x14ac:dyDescent="0.2">
      <c r="F318" s="12" t="s">
        <v>317</v>
      </c>
      <c r="G318" s="16">
        <v>1634400</v>
      </c>
      <c r="H318" s="16">
        <v>1634400</v>
      </c>
      <c r="I318" s="16">
        <v>1634400</v>
      </c>
      <c r="J318" s="16">
        <v>1634400</v>
      </c>
      <c r="K318" s="16">
        <v>1634400</v>
      </c>
      <c r="L318" s="16">
        <v>1634400</v>
      </c>
      <c r="M318" s="16">
        <v>1135000</v>
      </c>
      <c r="N318" s="16">
        <v>1135000</v>
      </c>
      <c r="O318" s="16">
        <v>1135000</v>
      </c>
      <c r="P318" s="16">
        <v>1135000</v>
      </c>
      <c r="Q318" s="16">
        <v>1135000</v>
      </c>
      <c r="R318" s="16">
        <v>1135000</v>
      </c>
      <c r="S318" s="16">
        <v>1135000</v>
      </c>
    </row>
    <row r="319" spans="1:19" ht="10.9" customHeight="1" x14ac:dyDescent="0.2">
      <c r="F319" s="12" t="s">
        <v>318</v>
      </c>
      <c r="G319" s="16">
        <v>720000</v>
      </c>
      <c r="H319" s="16">
        <v>720000</v>
      </c>
      <c r="I319" s="16">
        <v>720000</v>
      </c>
      <c r="J319" s="16">
        <v>720000</v>
      </c>
      <c r="K319" s="16">
        <v>720000</v>
      </c>
      <c r="L319" s="16">
        <v>720000</v>
      </c>
      <c r="M319" s="16">
        <v>720000</v>
      </c>
      <c r="N319" s="16">
        <v>480000</v>
      </c>
      <c r="O319" s="16">
        <v>480000</v>
      </c>
      <c r="P319" s="16">
        <v>480000</v>
      </c>
      <c r="Q319" s="16">
        <v>480000</v>
      </c>
      <c r="R319" s="16">
        <v>480000</v>
      </c>
      <c r="S319" s="16">
        <v>480000</v>
      </c>
    </row>
    <row r="320" spans="1:19" ht="10.9" customHeight="1" x14ac:dyDescent="0.2">
      <c r="F320" s="12" t="s">
        <v>319</v>
      </c>
      <c r="G320" s="16">
        <v>6212167</v>
      </c>
      <c r="H320" s="16">
        <v>6166667</v>
      </c>
      <c r="I320" s="16">
        <v>6166667</v>
      </c>
      <c r="J320" s="16">
        <v>6117284</v>
      </c>
      <c r="K320" s="16">
        <v>6000000</v>
      </c>
      <c r="L320" s="16">
        <v>6000000</v>
      </c>
      <c r="M320" s="16">
        <v>5704110</v>
      </c>
      <c r="N320" s="16">
        <v>5000000</v>
      </c>
      <c r="O320" s="16">
        <v>4166667</v>
      </c>
      <c r="P320" s="16">
        <v>4166667</v>
      </c>
      <c r="Q320" s="16">
        <v>4166667</v>
      </c>
      <c r="R320" s="16">
        <v>4166667</v>
      </c>
      <c r="S320" s="16">
        <v>4166667</v>
      </c>
    </row>
    <row r="321" spans="1:19" ht="10.9" customHeight="1" x14ac:dyDescent="0.2">
      <c r="F321" s="12" t="s">
        <v>320</v>
      </c>
      <c r="G321" s="16">
        <v>1920000</v>
      </c>
      <c r="H321" s="16">
        <v>1680000</v>
      </c>
      <c r="I321" s="16">
        <v>1320000</v>
      </c>
      <c r="J321" s="16">
        <v>1560000</v>
      </c>
      <c r="K321" s="16">
        <v>2760000</v>
      </c>
      <c r="L321" s="16">
        <v>2520000</v>
      </c>
      <c r="M321" s="16">
        <v>2880000</v>
      </c>
      <c r="N321" s="16">
        <v>2640000</v>
      </c>
      <c r="O321" s="16">
        <v>3360000</v>
      </c>
      <c r="P321" s="16">
        <v>3120000</v>
      </c>
      <c r="Q321" s="16">
        <v>2880000</v>
      </c>
      <c r="R321" s="16">
        <v>3120000</v>
      </c>
      <c r="S321" s="16">
        <v>2565000</v>
      </c>
    </row>
    <row r="322" spans="1:19" ht="10.9" customHeight="1" x14ac:dyDescent="0.2">
      <c r="F322" s="12" t="s">
        <v>321</v>
      </c>
      <c r="G322" s="16">
        <v>2667038</v>
      </c>
      <c r="H322" s="16">
        <v>4166410</v>
      </c>
      <c r="I322" s="16">
        <v>5722375</v>
      </c>
      <c r="J322" s="16">
        <v>3646910</v>
      </c>
      <c r="K322" s="16">
        <v>3003108</v>
      </c>
      <c r="L322" s="16">
        <v>4128498</v>
      </c>
      <c r="M322" s="16">
        <v>6608521.3600000003</v>
      </c>
      <c r="N322" s="16">
        <v>3215338.85</v>
      </c>
      <c r="O322" s="16">
        <v>1877820</v>
      </c>
      <c r="P322" s="16">
        <v>2547305</v>
      </c>
      <c r="Q322" s="16">
        <v>1431560</v>
      </c>
      <c r="R322" s="16">
        <v>2747750</v>
      </c>
      <c r="S322" s="16">
        <v>4396430</v>
      </c>
    </row>
    <row r="323" spans="1:19" ht="10.9" customHeight="1" x14ac:dyDescent="0.2">
      <c r="F323" s="12" t="s">
        <v>322</v>
      </c>
      <c r="G323" s="16">
        <v>0</v>
      </c>
      <c r="H323" s="16">
        <v>0</v>
      </c>
      <c r="I323" s="16">
        <v>0</v>
      </c>
      <c r="J323" s="16">
        <v>140000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</row>
    <row r="324" spans="1:19" ht="10.9" customHeight="1" x14ac:dyDescent="0.2">
      <c r="D324" s="13" t="s">
        <v>323</v>
      </c>
      <c r="G324" s="17">
        <f t="shared" ref="G324:S324" si="48">SUM(G317:G323)</f>
        <v>50426605</v>
      </c>
      <c r="H324" s="17">
        <f t="shared" si="48"/>
        <v>51367477</v>
      </c>
      <c r="I324" s="17">
        <f t="shared" si="48"/>
        <v>52563442</v>
      </c>
      <c r="J324" s="17">
        <f t="shared" si="48"/>
        <v>50522298</v>
      </c>
      <c r="K324" s="17">
        <f t="shared" si="48"/>
        <v>50117508</v>
      </c>
      <c r="L324" s="17">
        <f t="shared" si="48"/>
        <v>51002898</v>
      </c>
      <c r="M324" s="17">
        <f t="shared" si="48"/>
        <v>51272289.359999999</v>
      </c>
      <c r="N324" s="17">
        <f t="shared" si="48"/>
        <v>42470338.850000001</v>
      </c>
      <c r="O324" s="17">
        <f t="shared" si="48"/>
        <v>36019487</v>
      </c>
      <c r="P324" s="17">
        <f t="shared" si="48"/>
        <v>36448972</v>
      </c>
      <c r="Q324" s="17">
        <f t="shared" si="48"/>
        <v>35093227</v>
      </c>
      <c r="R324" s="17">
        <f t="shared" si="48"/>
        <v>36649417</v>
      </c>
      <c r="S324" s="17">
        <f t="shared" si="48"/>
        <v>38523097</v>
      </c>
    </row>
    <row r="325" spans="1:19" ht="10.9" customHeight="1" x14ac:dyDescent="0.2">
      <c r="A325" s="11"/>
      <c r="B325" s="11"/>
      <c r="C325" s="11"/>
      <c r="D325" s="11" t="s">
        <v>324</v>
      </c>
      <c r="E325" s="11"/>
      <c r="F325" s="11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1:19" ht="10.9" customHeight="1" x14ac:dyDescent="0.2">
      <c r="F326" s="12" t="s">
        <v>325</v>
      </c>
      <c r="G326" s="16">
        <v>6381900</v>
      </c>
      <c r="H326" s="16">
        <v>6300000</v>
      </c>
      <c r="I326" s="16">
        <v>6300000</v>
      </c>
      <c r="J326" s="16">
        <v>4780609</v>
      </c>
      <c r="K326" s="16">
        <v>6300000</v>
      </c>
      <c r="L326" s="16">
        <v>12900000</v>
      </c>
      <c r="M326" s="16">
        <v>-79813737</v>
      </c>
      <c r="N326" s="16">
        <v>26000000</v>
      </c>
      <c r="O326" s="16">
        <v>26000000</v>
      </c>
      <c r="P326" s="16">
        <v>25680000</v>
      </c>
      <c r="Q326" s="16">
        <v>25000000</v>
      </c>
      <c r="R326" s="16">
        <v>25000000</v>
      </c>
      <c r="S326" s="16">
        <v>23903287</v>
      </c>
    </row>
    <row r="327" spans="1:19" ht="10.9" customHeight="1" x14ac:dyDescent="0.2">
      <c r="F327" s="12" t="s">
        <v>326</v>
      </c>
      <c r="G327" s="16">
        <v>286020</v>
      </c>
      <c r="H327" s="16">
        <v>953400</v>
      </c>
      <c r="I327" s="16">
        <v>286020</v>
      </c>
      <c r="J327" s="16">
        <v>493920</v>
      </c>
      <c r="K327" s="16">
        <v>286020</v>
      </c>
      <c r="L327" s="16">
        <v>544800</v>
      </c>
      <c r="M327" s="16">
        <v>-3904400</v>
      </c>
      <c r="N327" s="16">
        <v>1180400</v>
      </c>
      <c r="O327" s="16">
        <v>1180400</v>
      </c>
      <c r="P327" s="16">
        <v>1180400</v>
      </c>
      <c r="Q327" s="16">
        <v>1135000</v>
      </c>
      <c r="R327" s="16">
        <v>1135000</v>
      </c>
      <c r="S327" s="16">
        <v>908000</v>
      </c>
    </row>
    <row r="328" spans="1:19" ht="10.9" customHeight="1" x14ac:dyDescent="0.2">
      <c r="F328" s="12" t="s">
        <v>327</v>
      </c>
      <c r="G328" s="16">
        <v>144000</v>
      </c>
      <c r="H328" s="16">
        <v>480000</v>
      </c>
      <c r="I328" s="16">
        <v>144000</v>
      </c>
      <c r="J328" s="16">
        <v>144000</v>
      </c>
      <c r="K328" s="16">
        <v>144000</v>
      </c>
      <c r="L328" s="16">
        <v>384000</v>
      </c>
      <c r="M328" s="16">
        <v>-1968000</v>
      </c>
      <c r="N328" s="16">
        <v>720000</v>
      </c>
      <c r="O328" s="16">
        <v>720000</v>
      </c>
      <c r="P328" s="16">
        <v>720000</v>
      </c>
      <c r="Q328" s="16">
        <v>680000</v>
      </c>
      <c r="R328" s="16">
        <v>680000</v>
      </c>
      <c r="S328" s="16">
        <v>680000</v>
      </c>
    </row>
    <row r="329" spans="1:19" ht="10.9" customHeight="1" x14ac:dyDescent="0.2">
      <c r="F329" s="12" t="s">
        <v>328</v>
      </c>
      <c r="G329" s="16">
        <v>1063650</v>
      </c>
      <c r="H329" s="16">
        <v>1050000</v>
      </c>
      <c r="I329" s="16">
        <v>1050000</v>
      </c>
      <c r="J329" s="16">
        <v>796768</v>
      </c>
      <c r="K329" s="16">
        <v>1050000</v>
      </c>
      <c r="L329" s="16">
        <v>2150000</v>
      </c>
      <c r="M329" s="16">
        <v>4333333</v>
      </c>
      <c r="N329" s="16">
        <v>4333333</v>
      </c>
      <c r="O329" s="16">
        <v>4333333</v>
      </c>
      <c r="P329" s="16">
        <v>4333333</v>
      </c>
      <c r="Q329" s="16">
        <v>4166667</v>
      </c>
      <c r="R329" s="16">
        <v>4166667</v>
      </c>
      <c r="S329" s="16">
        <v>5000000</v>
      </c>
    </row>
    <row r="330" spans="1:19" ht="10.9" customHeight="1" x14ac:dyDescent="0.2">
      <c r="F330" s="12" t="s">
        <v>329</v>
      </c>
      <c r="G330" s="16">
        <v>1507913.66</v>
      </c>
      <c r="H330" s="16">
        <v>1114431.33</v>
      </c>
      <c r="I330" s="16">
        <v>1574034.67</v>
      </c>
      <c r="J330" s="16">
        <v>2397748.84</v>
      </c>
      <c r="K330" s="16">
        <v>3230101.85</v>
      </c>
      <c r="L330" s="16">
        <v>4525166.04</v>
      </c>
      <c r="M330" s="16">
        <v>3273977.85</v>
      </c>
      <c r="N330" s="16">
        <v>3970628.54</v>
      </c>
      <c r="O330" s="16">
        <v>2810785.48</v>
      </c>
      <c r="P330" s="16">
        <v>3543945.85</v>
      </c>
      <c r="Q330" s="16">
        <v>4274583.7699999996</v>
      </c>
      <c r="R330" s="16">
        <v>3959461.15</v>
      </c>
      <c r="S330" s="16">
        <v>4283231.55</v>
      </c>
    </row>
    <row r="331" spans="1:19" ht="10.9" customHeight="1" x14ac:dyDescent="0.2">
      <c r="D331" s="13" t="s">
        <v>330</v>
      </c>
      <c r="G331" s="17">
        <f t="shared" ref="G331:S331" si="49">SUM(G326:G330)</f>
        <v>9383483.6600000001</v>
      </c>
      <c r="H331" s="17">
        <f t="shared" si="49"/>
        <v>9897831.3300000001</v>
      </c>
      <c r="I331" s="17">
        <f t="shared" si="49"/>
        <v>9354054.6699999999</v>
      </c>
      <c r="J331" s="17">
        <f t="shared" si="49"/>
        <v>8613045.8399999999</v>
      </c>
      <c r="K331" s="17">
        <f t="shared" si="49"/>
        <v>11010121.85</v>
      </c>
      <c r="L331" s="17">
        <f t="shared" si="49"/>
        <v>20503966.039999999</v>
      </c>
      <c r="M331" s="17">
        <f t="shared" si="49"/>
        <v>-78078826.150000006</v>
      </c>
      <c r="N331" s="17">
        <f t="shared" si="49"/>
        <v>36204361.539999999</v>
      </c>
      <c r="O331" s="17">
        <f t="shared" si="49"/>
        <v>35044518.479999997</v>
      </c>
      <c r="P331" s="17">
        <f t="shared" si="49"/>
        <v>35457678.850000001</v>
      </c>
      <c r="Q331" s="17">
        <f t="shared" si="49"/>
        <v>35256250.769999996</v>
      </c>
      <c r="R331" s="17">
        <f t="shared" si="49"/>
        <v>34941128.149999999</v>
      </c>
      <c r="S331" s="17">
        <f t="shared" si="49"/>
        <v>34774518.549999997</v>
      </c>
    </row>
    <row r="332" spans="1:19" ht="10.9" customHeight="1" x14ac:dyDescent="0.2">
      <c r="A332" s="11"/>
      <c r="B332" s="11"/>
      <c r="C332" s="11"/>
      <c r="D332" s="11" t="s">
        <v>331</v>
      </c>
      <c r="E332" s="11"/>
      <c r="F332" s="11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1:19" ht="10.9" customHeight="1" x14ac:dyDescent="0.2">
      <c r="F333" s="12" t="s">
        <v>332</v>
      </c>
      <c r="G333" s="16">
        <v>19520192</v>
      </c>
      <c r="H333" s="16">
        <v>18740192</v>
      </c>
      <c r="I333" s="16">
        <v>18740192</v>
      </c>
      <c r="J333" s="16">
        <v>17740192</v>
      </c>
      <c r="K333" s="16">
        <v>17740192</v>
      </c>
      <c r="L333" s="16">
        <v>17740192</v>
      </c>
      <c r="M333" s="16">
        <v>60979586</v>
      </c>
      <c r="N333" s="16">
        <v>11500000</v>
      </c>
      <c r="O333" s="16">
        <v>11500000</v>
      </c>
      <c r="P333" s="16">
        <v>11500000</v>
      </c>
      <c r="Q333" s="16">
        <v>11500000</v>
      </c>
      <c r="R333" s="16">
        <v>11500000</v>
      </c>
      <c r="S333" s="16">
        <v>11500000</v>
      </c>
    </row>
    <row r="334" spans="1:19" ht="10.9" customHeight="1" x14ac:dyDescent="0.2">
      <c r="F334" s="12" t="s">
        <v>333</v>
      </c>
      <c r="G334" s="16">
        <v>567500</v>
      </c>
      <c r="H334" s="16">
        <v>567500</v>
      </c>
      <c r="I334" s="16">
        <v>567500</v>
      </c>
      <c r="J334" s="16">
        <v>522100</v>
      </c>
      <c r="K334" s="16">
        <v>522100</v>
      </c>
      <c r="L334" s="16">
        <v>522100</v>
      </c>
      <c r="M334" s="16">
        <v>454000</v>
      </c>
      <c r="N334" s="16">
        <v>454000</v>
      </c>
      <c r="O334" s="16">
        <v>454000</v>
      </c>
      <c r="P334" s="16">
        <v>454000</v>
      </c>
      <c r="Q334" s="16">
        <v>454000</v>
      </c>
      <c r="R334" s="16">
        <v>454000</v>
      </c>
      <c r="S334" s="16">
        <v>454000</v>
      </c>
    </row>
    <row r="335" spans="1:19" ht="10.9" customHeight="1" x14ac:dyDescent="0.2">
      <c r="F335" s="12" t="s">
        <v>334</v>
      </c>
      <c r="G335" s="16">
        <v>500000</v>
      </c>
      <c r="H335" s="16">
        <v>500000</v>
      </c>
      <c r="I335" s="16">
        <v>500000</v>
      </c>
      <c r="J335" s="16">
        <v>460000</v>
      </c>
      <c r="K335" s="16">
        <v>460000</v>
      </c>
      <c r="L335" s="16">
        <v>460000</v>
      </c>
      <c r="M335" s="16">
        <v>400000</v>
      </c>
      <c r="N335" s="16">
        <v>400000</v>
      </c>
      <c r="O335" s="16">
        <v>400000</v>
      </c>
      <c r="P335" s="16">
        <v>400000</v>
      </c>
      <c r="Q335" s="16">
        <v>400000</v>
      </c>
      <c r="R335" s="16">
        <v>400000</v>
      </c>
      <c r="S335" s="16">
        <v>400000</v>
      </c>
    </row>
    <row r="336" spans="1:19" ht="10.9" customHeight="1" x14ac:dyDescent="0.2">
      <c r="F336" s="12" t="s">
        <v>335</v>
      </c>
      <c r="G336" s="16">
        <v>2213333</v>
      </c>
      <c r="H336" s="16">
        <v>2083333</v>
      </c>
      <c r="I336" s="16">
        <v>2083333</v>
      </c>
      <c r="J336" s="16">
        <v>1916667</v>
      </c>
      <c r="K336" s="16">
        <v>1916667</v>
      </c>
      <c r="L336" s="16">
        <v>1916667</v>
      </c>
      <c r="M336" s="16">
        <v>1916667</v>
      </c>
      <c r="N336" s="16">
        <v>1916667</v>
      </c>
      <c r="O336" s="16">
        <v>1916667</v>
      </c>
      <c r="P336" s="16">
        <v>1916667</v>
      </c>
      <c r="Q336" s="16">
        <v>1916667</v>
      </c>
      <c r="R336" s="16">
        <v>1916667</v>
      </c>
      <c r="S336" s="16">
        <v>1916667</v>
      </c>
    </row>
    <row r="337" spans="1:19" ht="10.9" customHeight="1" x14ac:dyDescent="0.2">
      <c r="F337" s="12" t="s">
        <v>336</v>
      </c>
      <c r="G337" s="16">
        <v>1227373.6599999999</v>
      </c>
      <c r="H337" s="16">
        <v>842191.33</v>
      </c>
      <c r="I337" s="16">
        <v>954694.67</v>
      </c>
      <c r="J337" s="16">
        <v>1324766.8400000001</v>
      </c>
      <c r="K337" s="16">
        <v>2099265.85</v>
      </c>
      <c r="L337" s="16">
        <v>2288303.04</v>
      </c>
      <c r="M337" s="16">
        <v>2043938.85</v>
      </c>
      <c r="N337" s="16">
        <v>2478135.54</v>
      </c>
      <c r="O337" s="16">
        <v>1686211.48</v>
      </c>
      <c r="P337" s="16">
        <v>2070055.85</v>
      </c>
      <c r="Q337" s="16">
        <v>2176572.77</v>
      </c>
      <c r="R337" s="16">
        <v>1958192.15</v>
      </c>
      <c r="S337" s="16">
        <v>1508538.55</v>
      </c>
    </row>
    <row r="338" spans="1:19" ht="10.9" customHeight="1" x14ac:dyDescent="0.2">
      <c r="D338" s="13" t="s">
        <v>337</v>
      </c>
      <c r="G338" s="17">
        <f t="shared" ref="G338:S338" si="50">SUM(G333:G337)</f>
        <v>24028398.66</v>
      </c>
      <c r="H338" s="17">
        <f t="shared" si="50"/>
        <v>22733216.329999998</v>
      </c>
      <c r="I338" s="17">
        <f t="shared" si="50"/>
        <v>22845719.670000002</v>
      </c>
      <c r="J338" s="17">
        <f t="shared" si="50"/>
        <v>21963725.84</v>
      </c>
      <c r="K338" s="17">
        <f t="shared" si="50"/>
        <v>22738224.850000001</v>
      </c>
      <c r="L338" s="17">
        <f t="shared" si="50"/>
        <v>22927262.039999999</v>
      </c>
      <c r="M338" s="17">
        <f t="shared" si="50"/>
        <v>65794191.850000001</v>
      </c>
      <c r="N338" s="17">
        <f t="shared" si="50"/>
        <v>16748802.539999999</v>
      </c>
      <c r="O338" s="17">
        <f t="shared" si="50"/>
        <v>15956878.48</v>
      </c>
      <c r="P338" s="17">
        <f t="shared" si="50"/>
        <v>16340722.85</v>
      </c>
      <c r="Q338" s="17">
        <f t="shared" si="50"/>
        <v>16447239.77</v>
      </c>
      <c r="R338" s="17">
        <f t="shared" si="50"/>
        <v>16228859.15</v>
      </c>
      <c r="S338" s="17">
        <f t="shared" si="50"/>
        <v>15779205.550000001</v>
      </c>
    </row>
    <row r="339" spans="1:19" ht="10.9" customHeight="1" x14ac:dyDescent="0.2">
      <c r="C339" s="13" t="s">
        <v>323</v>
      </c>
      <c r="G339" s="17">
        <f t="shared" ref="G339:S339" si="51">(0 + (((G315 + G324) + G331) + G338))</f>
        <v>178501565.97999999</v>
      </c>
      <c r="H339" s="17">
        <f t="shared" si="51"/>
        <v>171215474.99000001</v>
      </c>
      <c r="I339" s="17">
        <f t="shared" si="51"/>
        <v>173830992.00999999</v>
      </c>
      <c r="J339" s="17">
        <f t="shared" si="51"/>
        <v>164728035.52000001</v>
      </c>
      <c r="K339" s="17">
        <f t="shared" si="51"/>
        <v>168259125.21999997</v>
      </c>
      <c r="L339" s="17">
        <f t="shared" si="51"/>
        <v>178903728.12</v>
      </c>
      <c r="M339" s="17">
        <f t="shared" si="51"/>
        <v>20600835.359999992</v>
      </c>
      <c r="N339" s="17">
        <f t="shared" si="51"/>
        <v>239794010.46999997</v>
      </c>
      <c r="O339" s="17">
        <f t="shared" si="51"/>
        <v>228606965.93999997</v>
      </c>
      <c r="P339" s="17">
        <f t="shared" si="51"/>
        <v>211288727.54999998</v>
      </c>
      <c r="Q339" s="17">
        <f t="shared" si="51"/>
        <v>211545223.30999997</v>
      </c>
      <c r="R339" s="17">
        <f t="shared" si="51"/>
        <v>210991519.45000002</v>
      </c>
      <c r="S339" s="17">
        <f t="shared" si="51"/>
        <v>224585731.65000004</v>
      </c>
    </row>
    <row r="340" spans="1:19" ht="10.9" customHeight="1" x14ac:dyDescent="0.2">
      <c r="A340" s="11"/>
      <c r="B340" s="11"/>
      <c r="C340" s="11" t="s">
        <v>338</v>
      </c>
      <c r="D340" s="11"/>
      <c r="E340" s="11"/>
      <c r="F340" s="11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1:19" ht="10.9" customHeight="1" x14ac:dyDescent="0.2">
      <c r="A341" s="11"/>
      <c r="B341" s="11"/>
      <c r="C341" s="11"/>
      <c r="D341" s="11" t="s">
        <v>339</v>
      </c>
      <c r="E341" s="11"/>
      <c r="F341" s="11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1:19" ht="10.9" customHeight="1" x14ac:dyDescent="0.2">
      <c r="F342" s="12" t="s">
        <v>340</v>
      </c>
      <c r="G342" s="16">
        <v>101433000</v>
      </c>
      <c r="H342" s="16">
        <v>96584000</v>
      </c>
      <c r="I342" s="16">
        <v>101975233</v>
      </c>
      <c r="J342" s="16">
        <v>98314000</v>
      </c>
      <c r="K342" s="16">
        <v>106483691</v>
      </c>
      <c r="L342" s="16">
        <v>111499137</v>
      </c>
      <c r="M342" s="16">
        <v>104250987</v>
      </c>
      <c r="N342" s="16">
        <v>91318179</v>
      </c>
      <c r="O342" s="16">
        <v>93307219</v>
      </c>
      <c r="P342" s="16">
        <v>94163384</v>
      </c>
      <c r="Q342" s="16">
        <v>97671780</v>
      </c>
      <c r="R342" s="16">
        <v>95025831</v>
      </c>
      <c r="S342" s="16">
        <v>80232000</v>
      </c>
    </row>
    <row r="343" spans="1:19" ht="10.9" customHeight="1" x14ac:dyDescent="0.2">
      <c r="F343" s="12" t="s">
        <v>341</v>
      </c>
      <c r="G343" s="16">
        <v>4384916</v>
      </c>
      <c r="H343" s="16">
        <v>4384916</v>
      </c>
      <c r="I343" s="16">
        <v>4566516</v>
      </c>
      <c r="J343" s="16">
        <v>4463456</v>
      </c>
      <c r="K343" s="16">
        <v>4962856</v>
      </c>
      <c r="L343" s="16">
        <v>4962856</v>
      </c>
      <c r="M343" s="16">
        <v>4452106</v>
      </c>
      <c r="N343" s="16">
        <v>4026935</v>
      </c>
      <c r="O343" s="16">
        <v>4058715</v>
      </c>
      <c r="P343" s="16">
        <v>4177436</v>
      </c>
      <c r="Q343" s="16">
        <v>4177436</v>
      </c>
      <c r="R343" s="16">
        <v>3482589</v>
      </c>
      <c r="S343" s="16">
        <v>3482589</v>
      </c>
    </row>
    <row r="344" spans="1:19" ht="10.9" customHeight="1" x14ac:dyDescent="0.2">
      <c r="F344" s="12" t="s">
        <v>342</v>
      </c>
      <c r="G344" s="16">
        <v>3519360</v>
      </c>
      <c r="H344" s="16">
        <v>3519360</v>
      </c>
      <c r="I344" s="16">
        <v>3679360</v>
      </c>
      <c r="J344" s="16">
        <v>3588560</v>
      </c>
      <c r="K344" s="16">
        <v>4028560</v>
      </c>
      <c r="L344" s="16">
        <v>4133160</v>
      </c>
      <c r="M344" s="16">
        <v>4018560</v>
      </c>
      <c r="N344" s="16">
        <v>3363960</v>
      </c>
      <c r="O344" s="16">
        <v>3351960</v>
      </c>
      <c r="P344" s="16">
        <v>3576560</v>
      </c>
      <c r="Q344" s="16">
        <v>3576560</v>
      </c>
      <c r="R344" s="16">
        <v>3576560</v>
      </c>
      <c r="S344" s="16">
        <v>2724360</v>
      </c>
    </row>
    <row r="345" spans="1:19" ht="10.9" customHeight="1" x14ac:dyDescent="0.2">
      <c r="F345" s="12" t="s">
        <v>343</v>
      </c>
      <c r="G345" s="16">
        <v>16905500</v>
      </c>
      <c r="H345" s="16">
        <v>16097333</v>
      </c>
      <c r="I345" s="16">
        <v>16995872</v>
      </c>
      <c r="J345" s="16">
        <v>16385667</v>
      </c>
      <c r="K345" s="16">
        <v>17747282</v>
      </c>
      <c r="L345" s="16">
        <v>18583190</v>
      </c>
      <c r="M345" s="16">
        <v>17375165</v>
      </c>
      <c r="N345" s="16">
        <v>15372500</v>
      </c>
      <c r="O345" s="16">
        <v>15989167</v>
      </c>
      <c r="P345" s="16">
        <v>16925000</v>
      </c>
      <c r="Q345" s="16">
        <v>16258333</v>
      </c>
      <c r="R345" s="16">
        <v>16258333</v>
      </c>
      <c r="S345" s="16">
        <v>12707500</v>
      </c>
    </row>
    <row r="346" spans="1:19" ht="10.9" customHeight="1" x14ac:dyDescent="0.2">
      <c r="F346" s="12" t="s">
        <v>344</v>
      </c>
      <c r="G346" s="16">
        <v>6000000</v>
      </c>
      <c r="H346" s="16">
        <v>5400000</v>
      </c>
      <c r="I346" s="16">
        <v>165000</v>
      </c>
      <c r="J346" s="16">
        <v>0</v>
      </c>
      <c r="K346" s="16">
        <v>0</v>
      </c>
      <c r="L346" s="16">
        <v>0</v>
      </c>
      <c r="M346" s="16">
        <v>8688000</v>
      </c>
      <c r="N346" s="16">
        <v>58320000</v>
      </c>
      <c r="O346" s="16">
        <v>59160000</v>
      </c>
      <c r="P346" s="16">
        <v>49200000</v>
      </c>
      <c r="Q346" s="16">
        <v>42960000</v>
      </c>
      <c r="R346" s="16">
        <v>25290000</v>
      </c>
      <c r="S346" s="16">
        <v>31882500</v>
      </c>
    </row>
    <row r="347" spans="1:19" ht="10.9" customHeight="1" x14ac:dyDescent="0.2">
      <c r="F347" s="12" t="s">
        <v>345</v>
      </c>
      <c r="G347" s="16">
        <v>6204247.6600000001</v>
      </c>
      <c r="H347" s="16">
        <v>5327362.33</v>
      </c>
      <c r="I347" s="16">
        <v>5735431.6699999999</v>
      </c>
      <c r="J347" s="16">
        <v>6694073.8399999999</v>
      </c>
      <c r="K347" s="16">
        <v>10761756.35</v>
      </c>
      <c r="L347" s="16">
        <v>11816449.539999999</v>
      </c>
      <c r="M347" s="16">
        <v>10344366.85</v>
      </c>
      <c r="N347" s="16">
        <v>10684919.539999999</v>
      </c>
      <c r="O347" s="16">
        <v>9202324.9800000004</v>
      </c>
      <c r="P347" s="16">
        <v>8327430.3499999996</v>
      </c>
      <c r="Q347" s="16">
        <v>8569269.7699999996</v>
      </c>
      <c r="R347" s="16">
        <v>7694587.6500000004</v>
      </c>
      <c r="S347" s="16">
        <v>5520046.5499999998</v>
      </c>
    </row>
    <row r="348" spans="1:19" ht="10.9" customHeight="1" x14ac:dyDescent="0.2">
      <c r="D348" s="13" t="s">
        <v>346</v>
      </c>
      <c r="G348" s="17">
        <f t="shared" ref="G348:S348" si="52">SUM(G342:G347)</f>
        <v>138447023.66</v>
      </c>
      <c r="H348" s="17">
        <f t="shared" si="52"/>
        <v>131312971.33</v>
      </c>
      <c r="I348" s="17">
        <f t="shared" si="52"/>
        <v>133117412.67</v>
      </c>
      <c r="J348" s="17">
        <f t="shared" si="52"/>
        <v>129445756.84</v>
      </c>
      <c r="K348" s="17">
        <f t="shared" si="52"/>
        <v>143984145.34999999</v>
      </c>
      <c r="L348" s="17">
        <f t="shared" si="52"/>
        <v>150994792.53999999</v>
      </c>
      <c r="M348" s="17">
        <f t="shared" si="52"/>
        <v>149129184.84999999</v>
      </c>
      <c r="N348" s="17">
        <f t="shared" si="52"/>
        <v>183086493.53999999</v>
      </c>
      <c r="O348" s="17">
        <f t="shared" si="52"/>
        <v>185069385.97999999</v>
      </c>
      <c r="P348" s="17">
        <f t="shared" si="52"/>
        <v>176369810.34999999</v>
      </c>
      <c r="Q348" s="17">
        <f t="shared" si="52"/>
        <v>173213378.77000001</v>
      </c>
      <c r="R348" s="17">
        <f t="shared" si="52"/>
        <v>151327900.65000001</v>
      </c>
      <c r="S348" s="17">
        <f t="shared" si="52"/>
        <v>136548995.55000001</v>
      </c>
    </row>
    <row r="349" spans="1:19" ht="10.9" customHeight="1" x14ac:dyDescent="0.2">
      <c r="A349" s="11"/>
      <c r="B349" s="11"/>
      <c r="C349" s="11"/>
      <c r="D349" s="11" t="s">
        <v>347</v>
      </c>
      <c r="E349" s="11"/>
      <c r="F349" s="11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1:19" ht="10.9" customHeight="1" x14ac:dyDescent="0.2">
      <c r="F350" s="12" t="s">
        <v>348</v>
      </c>
      <c r="G350" s="16">
        <v>23160000</v>
      </c>
      <c r="H350" s="16">
        <v>31200000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</row>
    <row r="351" spans="1:19" ht="10.9" customHeight="1" x14ac:dyDescent="0.2">
      <c r="D351" s="13" t="s">
        <v>349</v>
      </c>
      <c r="G351" s="17">
        <f t="shared" ref="G351:S351" si="53">G350</f>
        <v>23160000</v>
      </c>
      <c r="H351" s="17">
        <f t="shared" si="53"/>
        <v>31200000</v>
      </c>
      <c r="I351" s="17">
        <f t="shared" si="53"/>
        <v>0</v>
      </c>
      <c r="J351" s="17">
        <f t="shared" si="53"/>
        <v>0</v>
      </c>
      <c r="K351" s="17">
        <f t="shared" si="53"/>
        <v>0</v>
      </c>
      <c r="L351" s="17">
        <f t="shared" si="53"/>
        <v>0</v>
      </c>
      <c r="M351" s="17">
        <f t="shared" si="53"/>
        <v>0</v>
      </c>
      <c r="N351" s="17">
        <f t="shared" si="53"/>
        <v>0</v>
      </c>
      <c r="O351" s="17">
        <f t="shared" si="53"/>
        <v>0</v>
      </c>
      <c r="P351" s="17">
        <f t="shared" si="53"/>
        <v>0</v>
      </c>
      <c r="Q351" s="17">
        <f t="shared" si="53"/>
        <v>0</v>
      </c>
      <c r="R351" s="17">
        <f t="shared" si="53"/>
        <v>0</v>
      </c>
      <c r="S351" s="17">
        <f t="shared" si="53"/>
        <v>0</v>
      </c>
    </row>
    <row r="352" spans="1:19" ht="10.9" customHeight="1" x14ac:dyDescent="0.2">
      <c r="A352" s="11"/>
      <c r="B352" s="11"/>
      <c r="C352" s="11"/>
      <c r="D352" s="11" t="s">
        <v>350</v>
      </c>
      <c r="E352" s="11"/>
      <c r="F352" s="11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1:19" ht="10.9" customHeight="1" x14ac:dyDescent="0.2">
      <c r="F353" s="12" t="s">
        <v>351</v>
      </c>
      <c r="G353" s="16">
        <v>19391000</v>
      </c>
      <c r="H353" s="16">
        <v>18026000</v>
      </c>
      <c r="I353" s="16">
        <v>18026000</v>
      </c>
      <c r="J353" s="16">
        <v>17815000</v>
      </c>
      <c r="K353" s="16">
        <v>17815000</v>
      </c>
      <c r="L353" s="16">
        <v>19839516</v>
      </c>
      <c r="M353" s="16">
        <v>20430000</v>
      </c>
      <c r="N353" s="16">
        <v>20430000</v>
      </c>
      <c r="O353" s="16">
        <v>20430000</v>
      </c>
      <c r="P353" s="16">
        <v>20515000</v>
      </c>
      <c r="Q353" s="16">
        <v>22960000</v>
      </c>
      <c r="R353" s="16">
        <v>22960000</v>
      </c>
      <c r="S353" s="16">
        <v>24871000</v>
      </c>
    </row>
    <row r="354" spans="1:19" ht="10.9" customHeight="1" x14ac:dyDescent="0.2">
      <c r="F354" s="12" t="s">
        <v>352</v>
      </c>
      <c r="G354" s="16">
        <v>818381</v>
      </c>
      <c r="H354" s="16">
        <v>818381</v>
      </c>
      <c r="I354" s="16">
        <v>818381</v>
      </c>
      <c r="J354" s="16">
        <v>808801</v>
      </c>
      <c r="K354" s="16">
        <v>808801</v>
      </c>
      <c r="L354" s="16">
        <v>927522</v>
      </c>
      <c r="M354" s="16">
        <v>927522</v>
      </c>
      <c r="N354" s="16">
        <v>927522</v>
      </c>
      <c r="O354" s="16">
        <v>927522</v>
      </c>
      <c r="P354" s="16">
        <v>1050102</v>
      </c>
      <c r="Q354" s="16">
        <v>1042384</v>
      </c>
      <c r="R354" s="16">
        <v>1042384</v>
      </c>
      <c r="S354" s="16">
        <v>1042384</v>
      </c>
    </row>
    <row r="355" spans="1:19" ht="10.9" customHeight="1" x14ac:dyDescent="0.2">
      <c r="F355" s="12" t="s">
        <v>353</v>
      </c>
      <c r="G355" s="16">
        <v>721040</v>
      </c>
      <c r="H355" s="16">
        <v>721040</v>
      </c>
      <c r="I355" s="16">
        <v>721040</v>
      </c>
      <c r="J355" s="16">
        <v>712600</v>
      </c>
      <c r="K355" s="16">
        <v>712600</v>
      </c>
      <c r="L355" s="16">
        <v>817200</v>
      </c>
      <c r="M355" s="16">
        <v>817200</v>
      </c>
      <c r="N355" s="16">
        <v>817200</v>
      </c>
      <c r="O355" s="16">
        <v>817200</v>
      </c>
      <c r="P355" s="16">
        <v>925200</v>
      </c>
      <c r="Q355" s="16">
        <v>918400</v>
      </c>
      <c r="R355" s="16">
        <v>918400</v>
      </c>
      <c r="S355" s="16">
        <v>918400</v>
      </c>
    </row>
    <row r="356" spans="1:19" ht="10.9" customHeight="1" x14ac:dyDescent="0.2">
      <c r="F356" s="12" t="s">
        <v>354</v>
      </c>
      <c r="G356" s="16">
        <v>3231833</v>
      </c>
      <c r="H356" s="16">
        <v>3004333</v>
      </c>
      <c r="I356" s="16">
        <v>3004333</v>
      </c>
      <c r="J356" s="16">
        <v>2969167</v>
      </c>
      <c r="K356" s="16">
        <v>2969167</v>
      </c>
      <c r="L356" s="16">
        <v>3306586</v>
      </c>
      <c r="M356" s="16">
        <v>3405000</v>
      </c>
      <c r="N356" s="16">
        <v>3405000</v>
      </c>
      <c r="O356" s="16">
        <v>3405000</v>
      </c>
      <c r="P356" s="16">
        <v>3855000</v>
      </c>
      <c r="Q356" s="16">
        <v>3826667</v>
      </c>
      <c r="R356" s="16">
        <v>3826667</v>
      </c>
      <c r="S356" s="16">
        <v>3826667</v>
      </c>
    </row>
    <row r="357" spans="1:19" ht="10.9" customHeight="1" x14ac:dyDescent="0.2">
      <c r="F357" s="12" t="s">
        <v>355</v>
      </c>
      <c r="G357" s="16">
        <v>0</v>
      </c>
      <c r="H357" s="16">
        <v>1440000</v>
      </c>
      <c r="I357" s="16">
        <v>24240000</v>
      </c>
      <c r="J357" s="16">
        <v>35910000</v>
      </c>
      <c r="K357" s="16">
        <v>53160000</v>
      </c>
      <c r="L357" s="16">
        <v>90270000</v>
      </c>
      <c r="M357" s="16">
        <v>69900000</v>
      </c>
      <c r="N357" s="16">
        <v>78720000</v>
      </c>
      <c r="O357" s="16">
        <v>97680000</v>
      </c>
      <c r="P357" s="16">
        <v>94560000</v>
      </c>
      <c r="Q357" s="16">
        <v>71640000</v>
      </c>
      <c r="R357" s="16">
        <v>71100000</v>
      </c>
      <c r="S357" s="16">
        <v>63422500</v>
      </c>
    </row>
    <row r="358" spans="1:19" ht="10.9" customHeight="1" x14ac:dyDescent="0.2">
      <c r="F358" s="12" t="s">
        <v>356</v>
      </c>
      <c r="G358" s="16">
        <v>1662526.66</v>
      </c>
      <c r="H358" s="16">
        <v>1312720.3400000001</v>
      </c>
      <c r="I358" s="16">
        <v>1371307.67</v>
      </c>
      <c r="J358" s="16">
        <v>1898073.85</v>
      </c>
      <c r="K358" s="16">
        <v>2186265.85</v>
      </c>
      <c r="L358" s="16">
        <v>2398303.14</v>
      </c>
      <c r="M358" s="16">
        <v>2143939.35</v>
      </c>
      <c r="N358" s="16">
        <v>2618135.5299999998</v>
      </c>
      <c r="O358" s="16">
        <v>1686211.48</v>
      </c>
      <c r="P358" s="16">
        <v>2422780.85</v>
      </c>
      <c r="Q358" s="16">
        <v>2562657.77</v>
      </c>
      <c r="R358" s="16">
        <v>2350779.15</v>
      </c>
      <c r="S358" s="16">
        <v>1781557.5</v>
      </c>
    </row>
    <row r="359" spans="1:19" ht="10.9" customHeight="1" x14ac:dyDescent="0.2">
      <c r="D359" s="13" t="s">
        <v>357</v>
      </c>
      <c r="G359" s="17">
        <f t="shared" ref="G359:S359" si="54">SUM(G353:G358)</f>
        <v>25824780.66</v>
      </c>
      <c r="H359" s="17">
        <f t="shared" si="54"/>
        <v>25322474.34</v>
      </c>
      <c r="I359" s="17">
        <f t="shared" si="54"/>
        <v>48181061.670000002</v>
      </c>
      <c r="J359" s="17">
        <f t="shared" si="54"/>
        <v>60113641.850000001</v>
      </c>
      <c r="K359" s="17">
        <f t="shared" si="54"/>
        <v>77651833.849999994</v>
      </c>
      <c r="L359" s="17">
        <f t="shared" si="54"/>
        <v>117559127.14</v>
      </c>
      <c r="M359" s="17">
        <f t="shared" si="54"/>
        <v>97623661.349999994</v>
      </c>
      <c r="N359" s="17">
        <f t="shared" si="54"/>
        <v>106917857.53</v>
      </c>
      <c r="O359" s="17">
        <f t="shared" si="54"/>
        <v>124945933.48</v>
      </c>
      <c r="P359" s="17">
        <f t="shared" si="54"/>
        <v>123328082.84999999</v>
      </c>
      <c r="Q359" s="17">
        <f t="shared" si="54"/>
        <v>102950108.77</v>
      </c>
      <c r="R359" s="17">
        <f t="shared" si="54"/>
        <v>102198230.15000001</v>
      </c>
      <c r="S359" s="17">
        <f t="shared" si="54"/>
        <v>95862508.5</v>
      </c>
    </row>
    <row r="360" spans="1:19" ht="10.9" customHeight="1" x14ac:dyDescent="0.2">
      <c r="C360" s="13" t="s">
        <v>358</v>
      </c>
      <c r="G360" s="17">
        <f t="shared" ref="G360:S360" si="55">(0 + ((G348 + G351) + G359))</f>
        <v>187431804.31999999</v>
      </c>
      <c r="H360" s="17">
        <f t="shared" si="55"/>
        <v>187835445.66999999</v>
      </c>
      <c r="I360" s="17">
        <f t="shared" si="55"/>
        <v>181298474.34</v>
      </c>
      <c r="J360" s="17">
        <f t="shared" si="55"/>
        <v>189559398.69</v>
      </c>
      <c r="K360" s="17">
        <f t="shared" si="55"/>
        <v>221635979.19999999</v>
      </c>
      <c r="L360" s="17">
        <f t="shared" si="55"/>
        <v>268553919.68000001</v>
      </c>
      <c r="M360" s="17">
        <f t="shared" si="55"/>
        <v>246752846.19999999</v>
      </c>
      <c r="N360" s="17">
        <f t="shared" si="55"/>
        <v>290004351.06999999</v>
      </c>
      <c r="O360" s="17">
        <f t="shared" si="55"/>
        <v>310015319.45999998</v>
      </c>
      <c r="P360" s="17">
        <f t="shared" si="55"/>
        <v>299697893.19999999</v>
      </c>
      <c r="Q360" s="17">
        <f t="shared" si="55"/>
        <v>276163487.54000002</v>
      </c>
      <c r="R360" s="17">
        <f t="shared" si="55"/>
        <v>253526130.80000001</v>
      </c>
      <c r="S360" s="17">
        <f t="shared" si="55"/>
        <v>232411504.05000001</v>
      </c>
    </row>
    <row r="361" spans="1:19" ht="10.9" customHeight="1" x14ac:dyDescent="0.2">
      <c r="A361" s="11"/>
      <c r="B361" s="11"/>
      <c r="C361" s="11" t="s">
        <v>359</v>
      </c>
      <c r="D361" s="11"/>
      <c r="E361" s="11"/>
      <c r="F361" s="11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1:19" ht="10.9" customHeight="1" x14ac:dyDescent="0.2">
      <c r="F362" s="12" t="s">
        <v>360</v>
      </c>
      <c r="G362" s="16">
        <v>89587777</v>
      </c>
      <c r="H362" s="16">
        <v>85224915</v>
      </c>
      <c r="I362" s="16">
        <v>80872860</v>
      </c>
      <c r="J362" s="16">
        <v>78943102</v>
      </c>
      <c r="K362" s="16">
        <v>65534503</v>
      </c>
      <c r="L362" s="16">
        <v>62472860</v>
      </c>
      <c r="M362" s="16">
        <v>225696644</v>
      </c>
      <c r="N362" s="16">
        <v>47000000</v>
      </c>
      <c r="O362" s="16">
        <v>50209708</v>
      </c>
      <c r="P362" s="16">
        <v>48800000</v>
      </c>
      <c r="Q362" s="16">
        <v>44677617</v>
      </c>
      <c r="R362" s="16">
        <v>32027398</v>
      </c>
      <c r="S362" s="16">
        <v>42068494</v>
      </c>
    </row>
    <row r="363" spans="1:19" ht="10.9" customHeight="1" x14ac:dyDescent="0.2">
      <c r="F363" s="12" t="s">
        <v>361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234876</v>
      </c>
      <c r="S363" s="16">
        <v>705300</v>
      </c>
    </row>
    <row r="364" spans="1:19" ht="10.9" customHeight="1" x14ac:dyDescent="0.2">
      <c r="F364" s="12" t="s">
        <v>362</v>
      </c>
      <c r="G364" s="16">
        <v>2519700</v>
      </c>
      <c r="H364" s="16">
        <v>2724000</v>
      </c>
      <c r="I364" s="16">
        <v>2315400</v>
      </c>
      <c r="J364" s="16">
        <v>1740900</v>
      </c>
      <c r="K364" s="16">
        <v>1584460</v>
      </c>
      <c r="L364" s="16">
        <v>1570840</v>
      </c>
      <c r="M364" s="16">
        <v>1225800</v>
      </c>
      <c r="N364" s="16">
        <v>1793300</v>
      </c>
      <c r="O364" s="16">
        <v>1793300</v>
      </c>
      <c r="P364" s="16">
        <v>1339300</v>
      </c>
      <c r="Q364" s="16">
        <v>1089600</v>
      </c>
      <c r="R364" s="16">
        <v>1089600</v>
      </c>
      <c r="S364" s="16">
        <v>1135000</v>
      </c>
    </row>
    <row r="365" spans="1:19" ht="10.9" customHeight="1" x14ac:dyDescent="0.2">
      <c r="F365" s="12" t="s">
        <v>363</v>
      </c>
      <c r="G365" s="16">
        <v>1980000</v>
      </c>
      <c r="H365" s="16">
        <v>2320000</v>
      </c>
      <c r="I365" s="16">
        <v>1800000</v>
      </c>
      <c r="J365" s="16">
        <v>1800000</v>
      </c>
      <c r="K365" s="16">
        <v>1184000</v>
      </c>
      <c r="L365" s="16">
        <v>1184000</v>
      </c>
      <c r="M365" s="16">
        <v>180000</v>
      </c>
      <c r="N365" s="16">
        <v>1580000</v>
      </c>
      <c r="O365" s="16">
        <v>1380000</v>
      </c>
      <c r="P365" s="16">
        <v>1380000</v>
      </c>
      <c r="Q365" s="16">
        <v>1360000</v>
      </c>
      <c r="R365" s="16">
        <v>1360000</v>
      </c>
      <c r="S365" s="16">
        <v>1720000</v>
      </c>
    </row>
    <row r="366" spans="1:19" ht="10.9" customHeight="1" x14ac:dyDescent="0.2">
      <c r="F366" s="12" t="s">
        <v>364</v>
      </c>
      <c r="G366" s="16">
        <v>10285820</v>
      </c>
      <c r="H366" s="16">
        <v>9558676</v>
      </c>
      <c r="I366" s="16">
        <v>8833333</v>
      </c>
      <c r="J366" s="16">
        <v>8511706</v>
      </c>
      <c r="K366" s="16">
        <v>5816667</v>
      </c>
      <c r="L366" s="16">
        <v>5766667</v>
      </c>
      <c r="M366" s="16">
        <v>7750000</v>
      </c>
      <c r="N366" s="16">
        <v>9333333</v>
      </c>
      <c r="O366" s="16">
        <v>8500000</v>
      </c>
      <c r="P366" s="16">
        <v>8166667</v>
      </c>
      <c r="Q366" s="16">
        <v>7333333</v>
      </c>
      <c r="R366" s="16">
        <v>8333333</v>
      </c>
      <c r="S366" s="16">
        <v>7833333</v>
      </c>
    </row>
    <row r="367" spans="1:19" ht="10.9" customHeight="1" x14ac:dyDescent="0.2">
      <c r="F367" s="12" t="s">
        <v>365</v>
      </c>
      <c r="G367" s="16">
        <v>3381035.66</v>
      </c>
      <c r="H367" s="16">
        <v>2572306.33</v>
      </c>
      <c r="I367" s="16">
        <v>1838620.67</v>
      </c>
      <c r="J367" s="16">
        <v>2559420.84</v>
      </c>
      <c r="K367" s="16">
        <v>7865171.8499999996</v>
      </c>
      <c r="L367" s="16">
        <v>3335693.04</v>
      </c>
      <c r="M367" s="16">
        <v>3232783.85</v>
      </c>
      <c r="N367" s="16">
        <v>4662589.54</v>
      </c>
      <c r="O367" s="16">
        <v>3775440.48</v>
      </c>
      <c r="P367" s="16">
        <v>4450545.8499999996</v>
      </c>
      <c r="Q367" s="16">
        <v>4122974.77</v>
      </c>
      <c r="R367" s="16">
        <v>2509312.15</v>
      </c>
      <c r="S367" s="16">
        <v>2158634.5499999998</v>
      </c>
    </row>
    <row r="368" spans="1:19" ht="10.9" customHeight="1" x14ac:dyDescent="0.2">
      <c r="C368" s="13" t="s">
        <v>366</v>
      </c>
      <c r="G368" s="17">
        <f t="shared" ref="G368:S368" si="56">SUM(G362:G367)</f>
        <v>107754332.66</v>
      </c>
      <c r="H368" s="17">
        <f t="shared" si="56"/>
        <v>102399897.33</v>
      </c>
      <c r="I368" s="17">
        <f t="shared" si="56"/>
        <v>95660213.670000002</v>
      </c>
      <c r="J368" s="17">
        <f t="shared" si="56"/>
        <v>93555128.840000004</v>
      </c>
      <c r="K368" s="17">
        <f t="shared" si="56"/>
        <v>81984801.849999994</v>
      </c>
      <c r="L368" s="17">
        <f t="shared" si="56"/>
        <v>74330060.040000007</v>
      </c>
      <c r="M368" s="17">
        <f t="shared" si="56"/>
        <v>238085227.84999999</v>
      </c>
      <c r="N368" s="17">
        <f t="shared" si="56"/>
        <v>64369222.539999999</v>
      </c>
      <c r="O368" s="17">
        <f t="shared" si="56"/>
        <v>65658448.479999997</v>
      </c>
      <c r="P368" s="17">
        <f t="shared" si="56"/>
        <v>64136512.850000001</v>
      </c>
      <c r="Q368" s="17">
        <f t="shared" si="56"/>
        <v>58583524.770000003</v>
      </c>
      <c r="R368" s="17">
        <f t="shared" si="56"/>
        <v>45554519.149999999</v>
      </c>
      <c r="S368" s="17">
        <f t="shared" si="56"/>
        <v>55620761.549999997</v>
      </c>
    </row>
    <row r="369" spans="1:19" ht="10.9" customHeight="1" x14ac:dyDescent="0.2">
      <c r="A369" s="11"/>
      <c r="B369" s="11"/>
      <c r="C369" s="11" t="s">
        <v>367</v>
      </c>
      <c r="D369" s="11"/>
      <c r="E369" s="11"/>
      <c r="F369" s="11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1:19" ht="10.9" customHeight="1" x14ac:dyDescent="0.2">
      <c r="A370" s="11"/>
      <c r="B370" s="11"/>
      <c r="C370" s="11"/>
      <c r="D370" s="11" t="s">
        <v>368</v>
      </c>
      <c r="E370" s="11"/>
      <c r="F370" s="11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1:19" ht="10.9" customHeight="1" x14ac:dyDescent="0.2">
      <c r="F371" s="12" t="s">
        <v>369</v>
      </c>
      <c r="G371" s="16">
        <v>22956672</v>
      </c>
      <c r="H371" s="16">
        <v>42850000</v>
      </c>
      <c r="I371" s="16">
        <v>42269500</v>
      </c>
      <c r="J371" s="16">
        <v>35148269</v>
      </c>
      <c r="K371" s="16">
        <v>36700000</v>
      </c>
      <c r="L371" s="16">
        <v>36700000</v>
      </c>
      <c r="M371" s="16">
        <v>-82452860</v>
      </c>
      <c r="N371" s="16">
        <v>54750000</v>
      </c>
      <c r="O371" s="16">
        <v>54750000</v>
      </c>
      <c r="P371" s="16">
        <v>54750000</v>
      </c>
      <c r="Q371" s="16">
        <v>52500000</v>
      </c>
      <c r="R371" s="16">
        <v>52500000</v>
      </c>
      <c r="S371" s="16">
        <v>52637780</v>
      </c>
    </row>
    <row r="372" spans="1:19" ht="10.9" customHeight="1" x14ac:dyDescent="0.2">
      <c r="F372" s="12" t="s">
        <v>370</v>
      </c>
      <c r="G372" s="16">
        <v>1945390</v>
      </c>
      <c r="H372" s="16">
        <v>2882900</v>
      </c>
      <c r="I372" s="16">
        <v>1945390</v>
      </c>
      <c r="J372" s="16">
        <v>2016530</v>
      </c>
      <c r="K372" s="16">
        <v>1666180</v>
      </c>
      <c r="L372" s="16">
        <v>1666180</v>
      </c>
      <c r="M372" s="16">
        <v>-4251710</v>
      </c>
      <c r="N372" s="16">
        <v>2485650</v>
      </c>
      <c r="O372" s="16">
        <v>2485650</v>
      </c>
      <c r="P372" s="16">
        <v>2485650</v>
      </c>
      <c r="Q372" s="16">
        <v>2383500</v>
      </c>
      <c r="R372" s="16">
        <v>2133800</v>
      </c>
      <c r="S372" s="16">
        <v>1452800</v>
      </c>
    </row>
    <row r="373" spans="1:19" ht="10.9" customHeight="1" x14ac:dyDescent="0.2">
      <c r="F373" s="12" t="s">
        <v>371</v>
      </c>
      <c r="G373" s="16">
        <v>1084000</v>
      </c>
      <c r="H373" s="16">
        <v>1420000</v>
      </c>
      <c r="I373" s="16">
        <v>1084000</v>
      </c>
      <c r="J373" s="16">
        <v>1084000</v>
      </c>
      <c r="K373" s="16">
        <v>1084000</v>
      </c>
      <c r="L373" s="16">
        <v>1084000</v>
      </c>
      <c r="M373" s="16">
        <v>-1288000</v>
      </c>
      <c r="N373" s="16">
        <v>1400000</v>
      </c>
      <c r="O373" s="16">
        <v>1400000</v>
      </c>
      <c r="P373" s="16">
        <v>1400000</v>
      </c>
      <c r="Q373" s="16">
        <v>1400000</v>
      </c>
      <c r="R373" s="16">
        <v>1360000</v>
      </c>
      <c r="S373" s="16">
        <v>880000</v>
      </c>
    </row>
    <row r="374" spans="1:19" ht="10.9" customHeight="1" x14ac:dyDescent="0.2">
      <c r="F374" s="12" t="s">
        <v>372</v>
      </c>
      <c r="G374" s="16">
        <v>3826112</v>
      </c>
      <c r="H374" s="16">
        <v>7141667</v>
      </c>
      <c r="I374" s="16">
        <v>7044917</v>
      </c>
      <c r="J374" s="16">
        <v>5858045</v>
      </c>
      <c r="K374" s="16">
        <v>6116667</v>
      </c>
      <c r="L374" s="16">
        <v>6116667</v>
      </c>
      <c r="M374" s="16">
        <v>9208333</v>
      </c>
      <c r="N374" s="16">
        <v>9125000</v>
      </c>
      <c r="O374" s="16">
        <v>9125000</v>
      </c>
      <c r="P374" s="16">
        <v>9125000</v>
      </c>
      <c r="Q374" s="16">
        <v>8750000</v>
      </c>
      <c r="R374" s="16">
        <v>8750000</v>
      </c>
      <c r="S374" s="16">
        <v>9250000</v>
      </c>
    </row>
    <row r="375" spans="1:19" ht="10.9" customHeight="1" x14ac:dyDescent="0.2">
      <c r="F375" s="12" t="s">
        <v>373</v>
      </c>
      <c r="G375" s="16">
        <v>1400013.66</v>
      </c>
      <c r="H375" s="16">
        <v>2421806.33</v>
      </c>
      <c r="I375" s="16">
        <v>2669474.67</v>
      </c>
      <c r="J375" s="16">
        <v>2755686.84</v>
      </c>
      <c r="K375" s="16">
        <v>6145001.8499999996</v>
      </c>
      <c r="L375" s="16">
        <v>6849786.04</v>
      </c>
      <c r="M375" s="16">
        <v>6573391.8499999996</v>
      </c>
      <c r="N375" s="16">
        <v>3501178.54</v>
      </c>
      <c r="O375" s="16">
        <v>12621989.48</v>
      </c>
      <c r="P375" s="16">
        <v>3282604.85</v>
      </c>
      <c r="Q375" s="16">
        <v>1665325.77</v>
      </c>
      <c r="R375" s="16">
        <v>5269529.1500000004</v>
      </c>
      <c r="S375" s="16">
        <v>2287099.5499999998</v>
      </c>
    </row>
    <row r="376" spans="1:19" ht="10.9" customHeight="1" x14ac:dyDescent="0.2">
      <c r="D376" s="13" t="s">
        <v>374</v>
      </c>
      <c r="G376" s="17">
        <f t="shared" ref="G376:S376" si="57">SUM(G371:G375)</f>
        <v>31212187.66</v>
      </c>
      <c r="H376" s="17">
        <f t="shared" si="57"/>
        <v>56716373.329999998</v>
      </c>
      <c r="I376" s="17">
        <f t="shared" si="57"/>
        <v>55013281.670000002</v>
      </c>
      <c r="J376" s="17">
        <f t="shared" si="57"/>
        <v>46862530.840000004</v>
      </c>
      <c r="K376" s="17">
        <f t="shared" si="57"/>
        <v>51711848.850000001</v>
      </c>
      <c r="L376" s="17">
        <f t="shared" si="57"/>
        <v>52416633.039999999</v>
      </c>
      <c r="M376" s="17">
        <f t="shared" si="57"/>
        <v>-72210845.150000006</v>
      </c>
      <c r="N376" s="17">
        <f t="shared" si="57"/>
        <v>71261828.540000007</v>
      </c>
      <c r="O376" s="17">
        <f t="shared" si="57"/>
        <v>80382639.480000004</v>
      </c>
      <c r="P376" s="17">
        <f t="shared" si="57"/>
        <v>71043254.849999994</v>
      </c>
      <c r="Q376" s="17">
        <f t="shared" si="57"/>
        <v>66698825.770000003</v>
      </c>
      <c r="R376" s="17">
        <f t="shared" si="57"/>
        <v>70013329.150000006</v>
      </c>
      <c r="S376" s="17">
        <f t="shared" si="57"/>
        <v>66507679.549999997</v>
      </c>
    </row>
    <row r="377" spans="1:19" ht="10.9" customHeight="1" x14ac:dyDescent="0.2">
      <c r="A377" s="11"/>
      <c r="B377" s="11"/>
      <c r="C377" s="11"/>
      <c r="D377" s="11" t="s">
        <v>375</v>
      </c>
      <c r="E377" s="11"/>
      <c r="F377" s="11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1:19" ht="10.9" customHeight="1" x14ac:dyDescent="0.2">
      <c r="F378" s="12" t="s">
        <v>376</v>
      </c>
      <c r="G378" s="16">
        <v>29089000</v>
      </c>
      <c r="H378" s="16">
        <v>27952000</v>
      </c>
      <c r="I378" s="16">
        <v>27952000</v>
      </c>
      <c r="J378" s="16">
        <v>27700000</v>
      </c>
      <c r="K378" s="16">
        <v>27700000</v>
      </c>
      <c r="L378" s="16">
        <v>27700000</v>
      </c>
      <c r="M378" s="16">
        <v>27700000</v>
      </c>
      <c r="N378" s="16">
        <v>28500000</v>
      </c>
      <c r="O378" s="16">
        <v>26900000</v>
      </c>
      <c r="P378" s="16">
        <v>26390000</v>
      </c>
      <c r="Q378" s="16">
        <v>26390000</v>
      </c>
      <c r="R378" s="16">
        <v>25390000</v>
      </c>
      <c r="S378" s="16">
        <v>27808273</v>
      </c>
    </row>
    <row r="379" spans="1:19" ht="10.9" customHeight="1" x14ac:dyDescent="0.2">
      <c r="F379" s="12" t="s">
        <v>377</v>
      </c>
      <c r="G379" s="16">
        <v>1269022</v>
      </c>
      <c r="H379" s="16">
        <v>1269022</v>
      </c>
      <c r="I379" s="16">
        <v>1269022</v>
      </c>
      <c r="J379" s="16">
        <v>1257580</v>
      </c>
      <c r="K379" s="16">
        <v>1257580</v>
      </c>
      <c r="L379" s="16">
        <v>1257580</v>
      </c>
      <c r="M379" s="16">
        <v>1198106</v>
      </c>
      <c r="N379" s="16">
        <v>1198106</v>
      </c>
      <c r="O379" s="16">
        <v>1198106</v>
      </c>
      <c r="P379" s="16">
        <v>1198106</v>
      </c>
      <c r="Q379" s="16">
        <v>1198106</v>
      </c>
      <c r="R379" s="16">
        <v>1152706</v>
      </c>
      <c r="S379" s="16">
        <v>1152706</v>
      </c>
    </row>
    <row r="380" spans="1:19" ht="10.9" customHeight="1" x14ac:dyDescent="0.2">
      <c r="F380" s="12" t="s">
        <v>378</v>
      </c>
      <c r="G380" s="16">
        <v>1118080</v>
      </c>
      <c r="H380" s="16">
        <v>1118080</v>
      </c>
      <c r="I380" s="16">
        <v>1118080</v>
      </c>
      <c r="J380" s="16">
        <v>1108000</v>
      </c>
      <c r="K380" s="16">
        <v>1108000</v>
      </c>
      <c r="L380" s="16">
        <v>1108000</v>
      </c>
      <c r="M380" s="16">
        <v>1055600</v>
      </c>
      <c r="N380" s="16">
        <v>1055600</v>
      </c>
      <c r="O380" s="16">
        <v>1055600</v>
      </c>
      <c r="P380" s="16">
        <v>1055600</v>
      </c>
      <c r="Q380" s="16">
        <v>1055600</v>
      </c>
      <c r="R380" s="16">
        <v>1015600</v>
      </c>
      <c r="S380" s="16">
        <v>1120200</v>
      </c>
    </row>
    <row r="381" spans="1:19" ht="10.9" customHeight="1" x14ac:dyDescent="0.2">
      <c r="F381" s="12" t="s">
        <v>379</v>
      </c>
      <c r="G381" s="16">
        <v>4848167</v>
      </c>
      <c r="H381" s="16">
        <v>4658667</v>
      </c>
      <c r="I381" s="16">
        <v>4658667</v>
      </c>
      <c r="J381" s="16">
        <v>4616667</v>
      </c>
      <c r="K381" s="16">
        <v>4616667</v>
      </c>
      <c r="L381" s="16">
        <v>4616667</v>
      </c>
      <c r="M381" s="16">
        <v>4616667</v>
      </c>
      <c r="N381" s="16">
        <v>4616667</v>
      </c>
      <c r="O381" s="16">
        <v>4483333</v>
      </c>
      <c r="P381" s="16">
        <v>4398333</v>
      </c>
      <c r="Q381" s="16">
        <v>4398333</v>
      </c>
      <c r="R381" s="16">
        <v>4667500</v>
      </c>
      <c r="S381" s="16">
        <v>4667500</v>
      </c>
    </row>
    <row r="382" spans="1:19" ht="10.9" customHeight="1" x14ac:dyDescent="0.2">
      <c r="F382" s="12" t="s">
        <v>380</v>
      </c>
      <c r="G382" s="16">
        <v>45780000</v>
      </c>
      <c r="H382" s="16">
        <v>44460000</v>
      </c>
      <c r="I382" s="16">
        <v>39420000</v>
      </c>
      <c r="J382" s="16">
        <v>48960000</v>
      </c>
      <c r="K382" s="16">
        <v>69660000</v>
      </c>
      <c r="L382" s="16">
        <v>70080000</v>
      </c>
      <c r="M382" s="16">
        <v>76650000</v>
      </c>
      <c r="N382" s="16">
        <v>75990000</v>
      </c>
      <c r="O382" s="16">
        <v>69330000</v>
      </c>
      <c r="P382" s="16">
        <v>59400000</v>
      </c>
      <c r="Q382" s="16">
        <v>52560000</v>
      </c>
      <c r="R382" s="16">
        <v>46500000</v>
      </c>
      <c r="S382" s="16">
        <v>45315000</v>
      </c>
    </row>
    <row r="383" spans="1:19" ht="10.9" customHeight="1" x14ac:dyDescent="0.2">
      <c r="F383" s="12" t="s">
        <v>381</v>
      </c>
      <c r="G383" s="16">
        <v>10919166.66</v>
      </c>
      <c r="H383" s="16">
        <v>9424567.8300000001</v>
      </c>
      <c r="I383" s="16">
        <v>10457889.67</v>
      </c>
      <c r="J383" s="16">
        <v>12074859.34</v>
      </c>
      <c r="K383" s="16">
        <v>14444277.35</v>
      </c>
      <c r="L383" s="16">
        <v>16084724.539999999</v>
      </c>
      <c r="M383" s="16">
        <v>14782007.85</v>
      </c>
      <c r="N383" s="16">
        <v>17536206.539999999</v>
      </c>
      <c r="O383" s="16">
        <v>14834654.98</v>
      </c>
      <c r="P383" s="16">
        <v>13807816.35</v>
      </c>
      <c r="Q383" s="16">
        <v>14386720.77</v>
      </c>
      <c r="R383" s="16">
        <v>12851312.65</v>
      </c>
      <c r="S383" s="16">
        <v>9699114.5500000007</v>
      </c>
    </row>
    <row r="384" spans="1:19" ht="10.9" customHeight="1" x14ac:dyDescent="0.2">
      <c r="D384" s="13" t="s">
        <v>382</v>
      </c>
      <c r="G384" s="17">
        <f t="shared" ref="G384:S384" si="58">SUM(G378:G383)</f>
        <v>93023435.659999996</v>
      </c>
      <c r="H384" s="17">
        <f t="shared" si="58"/>
        <v>88882336.829999998</v>
      </c>
      <c r="I384" s="17">
        <f t="shared" si="58"/>
        <v>84875658.670000002</v>
      </c>
      <c r="J384" s="17">
        <f t="shared" si="58"/>
        <v>95717106.340000004</v>
      </c>
      <c r="K384" s="17">
        <f t="shared" si="58"/>
        <v>118786524.34999999</v>
      </c>
      <c r="L384" s="17">
        <f t="shared" si="58"/>
        <v>120846971.53999999</v>
      </c>
      <c r="M384" s="17">
        <f t="shared" si="58"/>
        <v>126002380.84999999</v>
      </c>
      <c r="N384" s="17">
        <f t="shared" si="58"/>
        <v>128896579.53999999</v>
      </c>
      <c r="O384" s="17">
        <f t="shared" si="58"/>
        <v>117801693.98</v>
      </c>
      <c r="P384" s="17">
        <f t="shared" si="58"/>
        <v>106249855.34999999</v>
      </c>
      <c r="Q384" s="17">
        <f t="shared" si="58"/>
        <v>99988759.769999996</v>
      </c>
      <c r="R384" s="17">
        <f t="shared" si="58"/>
        <v>91577118.650000006</v>
      </c>
      <c r="S384" s="17">
        <f t="shared" si="58"/>
        <v>89762793.549999997</v>
      </c>
    </row>
    <row r="385" spans="1:19" ht="10.9" customHeight="1" x14ac:dyDescent="0.2">
      <c r="C385" s="13" t="s">
        <v>383</v>
      </c>
      <c r="G385" s="17">
        <f t="shared" ref="G385:S385" si="59">(0 + (G376 + G384))</f>
        <v>124235623.31999999</v>
      </c>
      <c r="H385" s="17">
        <f t="shared" si="59"/>
        <v>145598710.16</v>
      </c>
      <c r="I385" s="17">
        <f t="shared" si="59"/>
        <v>139888940.34</v>
      </c>
      <c r="J385" s="17">
        <f t="shared" si="59"/>
        <v>142579637.18000001</v>
      </c>
      <c r="K385" s="17">
        <f t="shared" si="59"/>
        <v>170498373.19999999</v>
      </c>
      <c r="L385" s="17">
        <f t="shared" si="59"/>
        <v>173263604.57999998</v>
      </c>
      <c r="M385" s="17">
        <f t="shared" si="59"/>
        <v>53791535.699999988</v>
      </c>
      <c r="N385" s="17">
        <f t="shared" si="59"/>
        <v>200158408.07999998</v>
      </c>
      <c r="O385" s="17">
        <f t="shared" si="59"/>
        <v>198184333.46000001</v>
      </c>
      <c r="P385" s="17">
        <f t="shared" si="59"/>
        <v>177293110.19999999</v>
      </c>
      <c r="Q385" s="17">
        <f t="shared" si="59"/>
        <v>166687585.53999999</v>
      </c>
      <c r="R385" s="17">
        <f t="shared" si="59"/>
        <v>161590447.80000001</v>
      </c>
      <c r="S385" s="17">
        <f t="shared" si="59"/>
        <v>156270473.09999999</v>
      </c>
    </row>
    <row r="386" spans="1:19" ht="10.9" customHeight="1" x14ac:dyDescent="0.2">
      <c r="B386" s="13" t="s">
        <v>384</v>
      </c>
      <c r="G386" s="17">
        <f t="shared" ref="G386:S386" si="60">(0 + (((G339 + G360) + G368) + G385))</f>
        <v>597923326.27999997</v>
      </c>
      <c r="H386" s="17">
        <f t="shared" si="60"/>
        <v>607049528.14999998</v>
      </c>
      <c r="I386" s="17">
        <f t="shared" si="60"/>
        <v>590678620.36000001</v>
      </c>
      <c r="J386" s="17">
        <f t="shared" si="60"/>
        <v>590422200.23000002</v>
      </c>
      <c r="K386" s="17">
        <f t="shared" si="60"/>
        <v>642378279.47000003</v>
      </c>
      <c r="L386" s="17">
        <f t="shared" si="60"/>
        <v>695051312.42000008</v>
      </c>
      <c r="M386" s="17">
        <f t="shared" si="60"/>
        <v>559230445.1099999</v>
      </c>
      <c r="N386" s="17">
        <f t="shared" si="60"/>
        <v>794325992.15999985</v>
      </c>
      <c r="O386" s="17">
        <f t="shared" si="60"/>
        <v>802465067.34000003</v>
      </c>
      <c r="P386" s="17">
        <f t="shared" si="60"/>
        <v>752416243.79999995</v>
      </c>
      <c r="Q386" s="17">
        <f t="shared" si="60"/>
        <v>712979821.15999997</v>
      </c>
      <c r="R386" s="17">
        <f t="shared" si="60"/>
        <v>671662617.20000005</v>
      </c>
      <c r="S386" s="17">
        <f t="shared" si="60"/>
        <v>668888470.35000002</v>
      </c>
    </row>
    <row r="387" spans="1:19" ht="10.9" customHeight="1" x14ac:dyDescent="0.2">
      <c r="A387" s="13" t="s">
        <v>385</v>
      </c>
      <c r="G387" s="17">
        <f t="shared" ref="G387:S387" si="61">(0 + (G305 + G386))</f>
        <v>907662788.92000008</v>
      </c>
      <c r="H387" s="17">
        <f t="shared" si="61"/>
        <v>945017402.98000002</v>
      </c>
      <c r="I387" s="17">
        <f t="shared" si="61"/>
        <v>908729666.03999996</v>
      </c>
      <c r="J387" s="17">
        <f t="shared" si="61"/>
        <v>945594415.60000002</v>
      </c>
      <c r="K387" s="17">
        <f t="shared" si="61"/>
        <v>1030659262.2</v>
      </c>
      <c r="L387" s="17">
        <f t="shared" si="61"/>
        <v>1118691390.5800002</v>
      </c>
      <c r="M387" s="17">
        <f t="shared" si="61"/>
        <v>936468529.50999987</v>
      </c>
      <c r="N387" s="17">
        <f t="shared" si="61"/>
        <v>1183414041.6099997</v>
      </c>
      <c r="O387" s="17">
        <f t="shared" si="61"/>
        <v>1193139824.26</v>
      </c>
      <c r="P387" s="17">
        <f t="shared" si="61"/>
        <v>1070118502.1999999</v>
      </c>
      <c r="Q387" s="17">
        <f t="shared" si="61"/>
        <v>999866281.24000001</v>
      </c>
      <c r="R387" s="17">
        <f t="shared" si="61"/>
        <v>1003399819.8000001</v>
      </c>
      <c r="S387" s="17">
        <f t="shared" si="61"/>
        <v>979004643.5</v>
      </c>
    </row>
    <row r="388" spans="1:19" ht="13.35" customHeight="1" x14ac:dyDescent="0.25"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ht="10.9" customHeight="1" x14ac:dyDescent="0.2">
      <c r="F389" s="14" t="s">
        <v>386</v>
      </c>
      <c r="G389" s="20">
        <f t="shared" ref="G389:S389" si="62">(((G35 - G59) - G387) - G265)</f>
        <v>431682324.51999998</v>
      </c>
      <c r="H389" s="20">
        <f t="shared" si="62"/>
        <v>870363806.12000012</v>
      </c>
      <c r="I389" s="20">
        <f t="shared" si="62"/>
        <v>270101219.60000002</v>
      </c>
      <c r="J389" s="20">
        <f t="shared" si="62"/>
        <v>495214717.85000038</v>
      </c>
      <c r="K389" s="20">
        <f t="shared" si="62"/>
        <v>424397107.0200001</v>
      </c>
      <c r="L389" s="20">
        <f t="shared" si="62"/>
        <v>1304248545.04</v>
      </c>
      <c r="M389" s="20">
        <f t="shared" si="62"/>
        <v>723686488.9000001</v>
      </c>
      <c r="N389" s="20">
        <f t="shared" si="62"/>
        <v>2377827348.27</v>
      </c>
      <c r="O389" s="20">
        <f t="shared" si="62"/>
        <v>1100126032.8699996</v>
      </c>
      <c r="P389" s="20">
        <f t="shared" si="62"/>
        <v>679651321.84000039</v>
      </c>
      <c r="Q389" s="20">
        <f t="shared" si="62"/>
        <v>926773506.31999981</v>
      </c>
      <c r="R389" s="20">
        <f t="shared" si="62"/>
        <v>595709942.82999992</v>
      </c>
      <c r="S389" s="20">
        <f t="shared" si="62"/>
        <v>173813619.72000015</v>
      </c>
    </row>
    <row r="390" spans="1:19" ht="13.35" customHeight="1" x14ac:dyDescent="0.25"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s="9" customFormat="1" ht="12.2" customHeight="1" x14ac:dyDescent="0.2">
      <c r="A391" s="6" t="s">
        <v>387</v>
      </c>
      <c r="B391" s="6"/>
      <c r="C391" s="6"/>
      <c r="D391" s="6"/>
      <c r="E391" s="6"/>
      <c r="F391" s="6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 spans="1:19" ht="10.9" customHeight="1" x14ac:dyDescent="0.2">
      <c r="A392" s="11"/>
      <c r="B392" s="11" t="s">
        <v>35</v>
      </c>
      <c r="C392" s="11"/>
      <c r="D392" s="11"/>
      <c r="E392" s="11"/>
      <c r="F392" s="11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1:19" ht="10.9" customHeight="1" x14ac:dyDescent="0.2">
      <c r="F393" s="12" t="s">
        <v>388</v>
      </c>
      <c r="G393" s="16">
        <v>120000</v>
      </c>
      <c r="H393" s="16">
        <v>0</v>
      </c>
      <c r="I393" s="16">
        <v>295000</v>
      </c>
      <c r="J393" s="16">
        <v>0</v>
      </c>
      <c r="K393" s="16">
        <v>693129</v>
      </c>
      <c r="L393" s="16">
        <v>765000</v>
      </c>
      <c r="M393" s="16">
        <v>0</v>
      </c>
      <c r="N393" s="16">
        <v>0</v>
      </c>
      <c r="O393" s="16">
        <v>0</v>
      </c>
      <c r="P393" s="16">
        <v>900000</v>
      </c>
      <c r="Q393" s="16">
        <v>2867968</v>
      </c>
      <c r="R393" s="16">
        <v>0</v>
      </c>
      <c r="S393" s="16">
        <v>4481544</v>
      </c>
    </row>
    <row r="394" spans="1:19" ht="10.9" customHeight="1" x14ac:dyDescent="0.2">
      <c r="F394" s="12" t="s">
        <v>389</v>
      </c>
      <c r="G394" s="16">
        <v>24999.74</v>
      </c>
      <c r="H394" s="16">
        <v>-76.87</v>
      </c>
      <c r="I394" s="16">
        <v>11634.12</v>
      </c>
      <c r="J394" s="16">
        <v>-255413.85</v>
      </c>
      <c r="K394" s="16">
        <v>4905.92</v>
      </c>
      <c r="L394" s="16">
        <v>244606.28</v>
      </c>
      <c r="M394" s="16">
        <v>0</v>
      </c>
      <c r="N394" s="16">
        <v>0</v>
      </c>
      <c r="O394" s="16">
        <v>-0.01</v>
      </c>
      <c r="P394" s="16">
        <v>0</v>
      </c>
      <c r="Q394" s="16">
        <v>0</v>
      </c>
      <c r="R394" s="16">
        <v>0</v>
      </c>
      <c r="S394" s="16">
        <v>0</v>
      </c>
    </row>
    <row r="395" spans="1:19" ht="10.9" customHeight="1" x14ac:dyDescent="0.2">
      <c r="F395" s="12" t="s">
        <v>390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737612.76</v>
      </c>
    </row>
    <row r="396" spans="1:19" ht="10.9" customHeight="1" x14ac:dyDescent="0.2">
      <c r="F396" s="12" t="s">
        <v>391</v>
      </c>
      <c r="G396" s="16">
        <v>0</v>
      </c>
      <c r="H396" s="16">
        <v>0</v>
      </c>
      <c r="I396" s="16">
        <v>0</v>
      </c>
      <c r="J396" s="16">
        <v>95149076.760000005</v>
      </c>
      <c r="K396" s="16">
        <v>-289894.63</v>
      </c>
      <c r="L396" s="16">
        <v>-378034.46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</row>
    <row r="397" spans="1:19" ht="10.9" customHeight="1" x14ac:dyDescent="0.2">
      <c r="B397" s="13" t="s">
        <v>41</v>
      </c>
      <c r="G397" s="17">
        <f t="shared" ref="G397:S397" si="63">SUM(G393:G396)</f>
        <v>144999.74</v>
      </c>
      <c r="H397" s="17">
        <f t="shared" si="63"/>
        <v>-76.87</v>
      </c>
      <c r="I397" s="17">
        <f t="shared" si="63"/>
        <v>306634.12</v>
      </c>
      <c r="J397" s="17">
        <f t="shared" si="63"/>
        <v>94893662.910000011</v>
      </c>
      <c r="K397" s="17">
        <f t="shared" si="63"/>
        <v>408140.29000000004</v>
      </c>
      <c r="L397" s="17">
        <f t="shared" si="63"/>
        <v>631571.82000000007</v>
      </c>
      <c r="M397" s="17">
        <f t="shared" si="63"/>
        <v>0</v>
      </c>
      <c r="N397" s="17">
        <f t="shared" si="63"/>
        <v>0</v>
      </c>
      <c r="O397" s="17">
        <f t="shared" si="63"/>
        <v>-0.01</v>
      </c>
      <c r="P397" s="17">
        <f t="shared" si="63"/>
        <v>900000</v>
      </c>
      <c r="Q397" s="17">
        <f t="shared" si="63"/>
        <v>2867968</v>
      </c>
      <c r="R397" s="17">
        <f t="shared" si="63"/>
        <v>0</v>
      </c>
      <c r="S397" s="17">
        <f t="shared" si="63"/>
        <v>5219156.76</v>
      </c>
    </row>
    <row r="398" spans="1:19" ht="10.9" customHeight="1" x14ac:dyDescent="0.2">
      <c r="A398" s="11"/>
      <c r="B398" s="11" t="s">
        <v>66</v>
      </c>
      <c r="C398" s="11"/>
      <c r="D398" s="11"/>
      <c r="E398" s="11"/>
      <c r="F398" s="11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1:19" ht="10.9" customHeight="1" x14ac:dyDescent="0.2">
      <c r="F399" s="12" t="s">
        <v>392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22395259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</row>
    <row r="400" spans="1:19" ht="10.9" customHeight="1" x14ac:dyDescent="0.2">
      <c r="F400" s="12" t="s">
        <v>393</v>
      </c>
      <c r="G400" s="16">
        <v>70014965</v>
      </c>
      <c r="H400" s="16">
        <v>93261384</v>
      </c>
      <c r="I400" s="16">
        <v>65088622</v>
      </c>
      <c r="J400" s="16">
        <v>85892306</v>
      </c>
      <c r="K400" s="16">
        <v>88370077</v>
      </c>
      <c r="L400" s="16">
        <v>139549972</v>
      </c>
      <c r="M400" s="16">
        <v>119802795</v>
      </c>
      <c r="N400" s="16">
        <v>174406672</v>
      </c>
      <c r="O400" s="16">
        <v>134754162</v>
      </c>
      <c r="P400" s="16">
        <v>90959287</v>
      </c>
      <c r="Q400" s="16">
        <v>88140734</v>
      </c>
      <c r="R400" s="16">
        <v>79237298</v>
      </c>
      <c r="S400" s="16">
        <v>59950632</v>
      </c>
    </row>
    <row r="401" spans="1:19" ht="10.9" customHeight="1" x14ac:dyDescent="0.2">
      <c r="F401" s="12" t="s">
        <v>394</v>
      </c>
      <c r="G401" s="16">
        <v>-671232727</v>
      </c>
      <c r="H401" s="16">
        <v>335610450</v>
      </c>
      <c r="I401" s="16">
        <v>335622277</v>
      </c>
      <c r="J401" s="16">
        <v>333832413</v>
      </c>
      <c r="K401" s="16">
        <v>332842391</v>
      </c>
      <c r="L401" s="16">
        <v>332810267</v>
      </c>
      <c r="M401" s="16">
        <v>333784499</v>
      </c>
      <c r="N401" s="16">
        <v>328752171.81999999</v>
      </c>
      <c r="O401" s="16">
        <v>330066228</v>
      </c>
      <c r="P401" s="16">
        <v>324400426.91000003</v>
      </c>
      <c r="Q401" s="16">
        <v>325872482.83999997</v>
      </c>
      <c r="R401" s="16">
        <v>324014146.45999998</v>
      </c>
      <c r="S401" s="16">
        <v>332792545.44999999</v>
      </c>
    </row>
    <row r="402" spans="1:19" ht="10.9" customHeight="1" x14ac:dyDescent="0.2">
      <c r="F402" s="12" t="s">
        <v>395</v>
      </c>
      <c r="G402" s="16">
        <v>59404899</v>
      </c>
      <c r="H402" s="16">
        <v>58733899</v>
      </c>
      <c r="I402" s="16">
        <v>58733899</v>
      </c>
      <c r="J402" s="16">
        <v>58420672</v>
      </c>
      <c r="K402" s="16">
        <v>58247418</v>
      </c>
      <c r="L402" s="16">
        <v>58241797</v>
      </c>
      <c r="M402" s="16">
        <v>58412287</v>
      </c>
      <c r="N402" s="16">
        <v>57531630</v>
      </c>
      <c r="O402" s="16">
        <v>57761590</v>
      </c>
      <c r="P402" s="16">
        <v>56770075</v>
      </c>
      <c r="Q402" s="16">
        <v>57027684</v>
      </c>
      <c r="R402" s="16">
        <v>58115111</v>
      </c>
      <c r="S402" s="16">
        <v>58238695</v>
      </c>
    </row>
    <row r="403" spans="1:19" ht="10.9" customHeight="1" x14ac:dyDescent="0.2">
      <c r="F403" s="12" t="s">
        <v>396</v>
      </c>
      <c r="G403" s="16">
        <v>103859691</v>
      </c>
      <c r="H403" s="16">
        <v>83905569</v>
      </c>
      <c r="I403" s="16">
        <v>83905569</v>
      </c>
      <c r="J403" s="16">
        <v>83458103</v>
      </c>
      <c r="K403" s="16">
        <v>83210598</v>
      </c>
      <c r="L403" s="16">
        <v>137395485</v>
      </c>
      <c r="M403" s="16">
        <v>83446125</v>
      </c>
      <c r="N403" s="16">
        <v>299142472.31999999</v>
      </c>
      <c r="O403" s="16">
        <v>107257315</v>
      </c>
      <c r="P403" s="16">
        <v>81100107</v>
      </c>
      <c r="Q403" s="16">
        <v>81988341</v>
      </c>
      <c r="R403" s="16">
        <v>83021587</v>
      </c>
      <c r="S403" s="16">
        <v>83198136</v>
      </c>
    </row>
    <row r="404" spans="1:19" ht="10.9" customHeight="1" x14ac:dyDescent="0.2">
      <c r="F404" s="12" t="s">
        <v>397</v>
      </c>
      <c r="G404" s="16">
        <v>0</v>
      </c>
      <c r="H404" s="16">
        <v>0</v>
      </c>
      <c r="I404" s="16">
        <v>0</v>
      </c>
      <c r="J404" s="16">
        <v>-0.5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</row>
    <row r="405" spans="1:19" ht="10.9" customHeight="1" x14ac:dyDescent="0.2">
      <c r="F405" s="12" t="s">
        <v>398</v>
      </c>
      <c r="G405" s="16">
        <v>-841.6</v>
      </c>
      <c r="H405" s="16">
        <v>-10.19</v>
      </c>
      <c r="I405" s="16">
        <v>-0.75</v>
      </c>
      <c r="J405" s="16">
        <v>1.8</v>
      </c>
      <c r="K405" s="16">
        <v>2.16</v>
      </c>
      <c r="L405" s="16">
        <v>3.19</v>
      </c>
      <c r="M405" s="16">
        <v>301.57</v>
      </c>
      <c r="N405" s="16">
        <v>-0.93</v>
      </c>
      <c r="O405" s="16">
        <v>1.84</v>
      </c>
      <c r="P405" s="16">
        <v>-0.45</v>
      </c>
      <c r="Q405" s="16">
        <v>1.19</v>
      </c>
      <c r="R405" s="16">
        <v>-0.01</v>
      </c>
      <c r="S405" s="16">
        <v>0.94</v>
      </c>
    </row>
    <row r="406" spans="1:19" ht="10.9" customHeight="1" x14ac:dyDescent="0.2">
      <c r="B406" s="13" t="s">
        <v>266</v>
      </c>
      <c r="G406" s="17">
        <f t="shared" ref="G406:S406" si="64">SUM(G399:G405)</f>
        <v>-437954013.60000002</v>
      </c>
      <c r="H406" s="17">
        <f t="shared" si="64"/>
        <v>571511291.80999994</v>
      </c>
      <c r="I406" s="17">
        <f t="shared" si="64"/>
        <v>543350366.25</v>
      </c>
      <c r="J406" s="17">
        <f t="shared" si="64"/>
        <v>561603495.29999995</v>
      </c>
      <c r="K406" s="17">
        <f t="shared" si="64"/>
        <v>562670486.15999997</v>
      </c>
      <c r="L406" s="17">
        <f t="shared" si="64"/>
        <v>690392783.19000006</v>
      </c>
      <c r="M406" s="17">
        <f t="shared" si="64"/>
        <v>595446007.57000005</v>
      </c>
      <c r="N406" s="17">
        <f t="shared" si="64"/>
        <v>859832945.20999992</v>
      </c>
      <c r="O406" s="17">
        <f t="shared" si="64"/>
        <v>629839296.84000003</v>
      </c>
      <c r="P406" s="17">
        <f t="shared" si="64"/>
        <v>553229895.46000004</v>
      </c>
      <c r="Q406" s="17">
        <f t="shared" si="64"/>
        <v>553029243.02999997</v>
      </c>
      <c r="R406" s="17">
        <f t="shared" si="64"/>
        <v>544388142.45000005</v>
      </c>
      <c r="S406" s="17">
        <f t="shared" si="64"/>
        <v>534180009.38999999</v>
      </c>
    </row>
    <row r="407" spans="1:19" ht="10.9" customHeight="1" x14ac:dyDescent="0.2">
      <c r="A407" s="13" t="s">
        <v>399</v>
      </c>
      <c r="G407" s="17">
        <f t="shared" ref="G407:S407" si="65">(0 + (G397 - G406))</f>
        <v>438099013.34000003</v>
      </c>
      <c r="H407" s="17">
        <f t="shared" si="65"/>
        <v>-571511368.67999995</v>
      </c>
      <c r="I407" s="17">
        <f t="shared" si="65"/>
        <v>-543043732.13</v>
      </c>
      <c r="J407" s="17">
        <f t="shared" si="65"/>
        <v>-466709832.38999993</v>
      </c>
      <c r="K407" s="17">
        <f t="shared" si="65"/>
        <v>-562262345.87</v>
      </c>
      <c r="L407" s="17">
        <f t="shared" si="65"/>
        <v>-689761211.37</v>
      </c>
      <c r="M407" s="17">
        <f t="shared" si="65"/>
        <v>-595446007.57000005</v>
      </c>
      <c r="N407" s="17">
        <f t="shared" si="65"/>
        <v>-859832945.20999992</v>
      </c>
      <c r="O407" s="17">
        <f t="shared" si="65"/>
        <v>-629839296.85000002</v>
      </c>
      <c r="P407" s="17">
        <f t="shared" si="65"/>
        <v>-552329895.46000004</v>
      </c>
      <c r="Q407" s="17">
        <f t="shared" si="65"/>
        <v>-550161275.02999997</v>
      </c>
      <c r="R407" s="17">
        <f t="shared" si="65"/>
        <v>-544388142.45000005</v>
      </c>
      <c r="S407" s="17">
        <f t="shared" si="65"/>
        <v>-528960852.63</v>
      </c>
    </row>
    <row r="408" spans="1:19" ht="13.35" customHeight="1" x14ac:dyDescent="0.25"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ht="10.9" customHeight="1" x14ac:dyDescent="0.2">
      <c r="F409" s="14" t="s">
        <v>400</v>
      </c>
      <c r="G409" s="20">
        <f t="shared" ref="G409:S409" si="66">(G389 + G407)</f>
        <v>869781337.86000001</v>
      </c>
      <c r="H409" s="20">
        <f t="shared" si="66"/>
        <v>298852437.44000018</v>
      </c>
      <c r="I409" s="20">
        <f t="shared" si="66"/>
        <v>-272942512.52999997</v>
      </c>
      <c r="J409" s="20">
        <f t="shared" si="66"/>
        <v>28504885.460000455</v>
      </c>
      <c r="K409" s="20">
        <f t="shared" si="66"/>
        <v>-137865238.8499999</v>
      </c>
      <c r="L409" s="20">
        <f t="shared" si="66"/>
        <v>614487333.66999996</v>
      </c>
      <c r="M409" s="20">
        <f t="shared" si="66"/>
        <v>128240481.33000004</v>
      </c>
      <c r="N409" s="20">
        <f t="shared" si="66"/>
        <v>1517994403.0599999</v>
      </c>
      <c r="O409" s="20">
        <f t="shared" si="66"/>
        <v>470286736.01999962</v>
      </c>
      <c r="P409" s="20">
        <f t="shared" si="66"/>
        <v>127321426.38000035</v>
      </c>
      <c r="Q409" s="20">
        <f t="shared" si="66"/>
        <v>376612231.28999984</v>
      </c>
      <c r="R409" s="20">
        <f t="shared" si="66"/>
        <v>51321800.379999876</v>
      </c>
      <c r="S409" s="20">
        <f t="shared" si="66"/>
        <v>-355147232.90999985</v>
      </c>
    </row>
    <row r="410" spans="1:19" ht="13.35" customHeight="1" x14ac:dyDescent="0.25"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s="9" customFormat="1" ht="12.2" customHeight="1" x14ac:dyDescent="0.2">
      <c r="A411" s="6" t="s">
        <v>401</v>
      </c>
      <c r="B411" s="6"/>
      <c r="C411" s="6"/>
      <c r="D411" s="6"/>
      <c r="E411" s="6"/>
      <c r="F411" s="6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 spans="1:19" ht="10.9" customHeight="1" x14ac:dyDescent="0.2">
      <c r="A412" s="11"/>
      <c r="B412" s="11" t="s">
        <v>402</v>
      </c>
      <c r="C412" s="11"/>
      <c r="D412" s="11"/>
      <c r="E412" s="11"/>
      <c r="F412" s="11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1:19" ht="10.9" customHeight="1" x14ac:dyDescent="0.2">
      <c r="F413" s="12" t="s">
        <v>403</v>
      </c>
      <c r="G413" s="16">
        <v>115043596</v>
      </c>
      <c r="H413" s="16">
        <v>115043596</v>
      </c>
      <c r="I413" s="16">
        <v>115043596</v>
      </c>
      <c r="J413" s="16">
        <v>115043596</v>
      </c>
      <c r="K413" s="16">
        <v>115043596</v>
      </c>
      <c r="L413" s="16">
        <v>115043596</v>
      </c>
      <c r="M413" s="16">
        <v>115043596</v>
      </c>
      <c r="N413" s="16">
        <v>115043596</v>
      </c>
      <c r="O413" s="16">
        <v>115043596</v>
      </c>
      <c r="P413" s="16">
        <v>115043596</v>
      </c>
      <c r="Q413" s="16">
        <v>115043596</v>
      </c>
      <c r="R413" s="16">
        <v>115043596</v>
      </c>
      <c r="S413" s="16">
        <v>115043596</v>
      </c>
    </row>
    <row r="414" spans="1:19" ht="10.9" customHeight="1" x14ac:dyDescent="0.2">
      <c r="F414" s="12" t="s">
        <v>404</v>
      </c>
      <c r="G414" s="16">
        <v>896875</v>
      </c>
      <c r="H414" s="16">
        <v>464583</v>
      </c>
      <c r="I414" s="16">
        <v>261286</v>
      </c>
      <c r="J414" s="16">
        <v>261286</v>
      </c>
      <c r="K414" s="16">
        <v>261286</v>
      </c>
      <c r="L414" s="16">
        <v>261286</v>
      </c>
      <c r="M414" s="16">
        <v>261286</v>
      </c>
      <c r="N414" s="16">
        <v>261286</v>
      </c>
      <c r="O414" s="16">
        <v>261286</v>
      </c>
      <c r="P414" s="16">
        <v>164202</v>
      </c>
      <c r="Q414" s="16">
        <v>164202</v>
      </c>
      <c r="R414" s="16">
        <v>333473</v>
      </c>
      <c r="S414" s="16">
        <v>349098</v>
      </c>
    </row>
    <row r="415" spans="1:19" ht="10.9" customHeight="1" x14ac:dyDescent="0.2">
      <c r="F415" s="12" t="s">
        <v>405</v>
      </c>
      <c r="G415" s="16">
        <v>3123440</v>
      </c>
      <c r="H415" s="16">
        <v>3094273</v>
      </c>
      <c r="I415" s="16">
        <v>4704273</v>
      </c>
      <c r="J415" s="16">
        <v>4551038</v>
      </c>
      <c r="K415" s="16">
        <v>4551038</v>
      </c>
      <c r="L415" s="16">
        <v>5841007</v>
      </c>
      <c r="M415" s="16">
        <v>5861111</v>
      </c>
      <c r="N415" s="16">
        <v>5801135</v>
      </c>
      <c r="O415" s="16">
        <v>5520953</v>
      </c>
      <c r="P415" s="16">
        <v>5178463</v>
      </c>
      <c r="Q415" s="16">
        <v>5319088</v>
      </c>
      <c r="R415" s="16">
        <v>5394088</v>
      </c>
      <c r="S415" s="16">
        <v>5533463</v>
      </c>
    </row>
    <row r="416" spans="1:19" ht="10.9" customHeight="1" x14ac:dyDescent="0.2">
      <c r="F416" s="12" t="s">
        <v>406</v>
      </c>
      <c r="G416" s="16">
        <v>40219932</v>
      </c>
      <c r="H416" s="16">
        <v>39800661</v>
      </c>
      <c r="I416" s="16">
        <v>40338474</v>
      </c>
      <c r="J416" s="16">
        <v>40136201</v>
      </c>
      <c r="K416" s="16">
        <v>40265367</v>
      </c>
      <c r="L416" s="16">
        <v>40239326</v>
      </c>
      <c r="M416" s="16">
        <v>40276461</v>
      </c>
      <c r="N416" s="16">
        <v>40404326</v>
      </c>
      <c r="O416" s="16">
        <v>40338018</v>
      </c>
      <c r="P416" s="16">
        <v>40338018</v>
      </c>
      <c r="Q416" s="16">
        <v>40338018</v>
      </c>
      <c r="R416" s="16">
        <v>40338018</v>
      </c>
      <c r="S416" s="16">
        <v>40338018</v>
      </c>
    </row>
    <row r="417" spans="1:19" ht="10.9" customHeight="1" x14ac:dyDescent="0.2">
      <c r="F417" s="12" t="s">
        <v>407</v>
      </c>
      <c r="G417" s="16">
        <v>5500000</v>
      </c>
      <c r="H417" s="16">
        <v>5500000</v>
      </c>
      <c r="I417" s="16">
        <v>5500000</v>
      </c>
      <c r="J417" s="16">
        <v>5500000</v>
      </c>
      <c r="K417" s="16">
        <v>5500000</v>
      </c>
      <c r="L417" s="16">
        <v>5500000</v>
      </c>
      <c r="M417" s="16">
        <v>5500000</v>
      </c>
      <c r="N417" s="16">
        <v>5500000</v>
      </c>
      <c r="O417" s="16">
        <v>5500000</v>
      </c>
      <c r="P417" s="16">
        <v>5500000</v>
      </c>
      <c r="Q417" s="16">
        <v>5500000</v>
      </c>
      <c r="R417" s="16">
        <v>5500000</v>
      </c>
      <c r="S417" s="16">
        <v>5500000</v>
      </c>
    </row>
    <row r="418" spans="1:19" ht="10.9" customHeight="1" x14ac:dyDescent="0.2">
      <c r="F418" s="12" t="s">
        <v>408</v>
      </c>
      <c r="G418" s="16">
        <v>483333</v>
      </c>
      <c r="H418" s="16">
        <v>483333</v>
      </c>
      <c r="I418" s="16">
        <v>483333</v>
      </c>
      <c r="J418" s="16">
        <v>483333</v>
      </c>
      <c r="K418" s="16">
        <v>483333</v>
      </c>
      <c r="L418" s="16">
        <v>483333</v>
      </c>
      <c r="M418" s="16">
        <v>483333</v>
      </c>
      <c r="N418" s="16">
        <v>483333</v>
      </c>
      <c r="O418" s="16">
        <v>483333</v>
      </c>
      <c r="P418" s="16">
        <v>483333</v>
      </c>
      <c r="Q418" s="16">
        <v>483333</v>
      </c>
      <c r="R418" s="16">
        <v>483333</v>
      </c>
      <c r="S418" s="16">
        <v>483333</v>
      </c>
    </row>
    <row r="419" spans="1:19" ht="10.9" customHeight="1" x14ac:dyDescent="0.2">
      <c r="F419" s="12" t="s">
        <v>409</v>
      </c>
      <c r="G419" s="16">
        <v>431250</v>
      </c>
      <c r="H419" s="16">
        <v>431250</v>
      </c>
      <c r="I419" s="16">
        <v>431250</v>
      </c>
      <c r="J419" s="16">
        <v>431250</v>
      </c>
      <c r="K419" s="16">
        <v>431250</v>
      </c>
      <c r="L419" s="16">
        <v>431250</v>
      </c>
      <c r="M419" s="16">
        <v>431250</v>
      </c>
      <c r="N419" s="16">
        <v>431250</v>
      </c>
      <c r="O419" s="16">
        <v>431250</v>
      </c>
      <c r="P419" s="16">
        <v>431250</v>
      </c>
      <c r="Q419" s="16">
        <v>431250</v>
      </c>
      <c r="R419" s="16">
        <v>431250</v>
      </c>
      <c r="S419" s="16">
        <v>431250</v>
      </c>
    </row>
    <row r="420" spans="1:19" ht="10.9" customHeight="1" x14ac:dyDescent="0.2">
      <c r="F420" s="12" t="s">
        <v>410</v>
      </c>
      <c r="G420" s="16">
        <v>1124256</v>
      </c>
      <c r="H420" s="16">
        <v>1124256</v>
      </c>
      <c r="I420" s="16">
        <v>1124256</v>
      </c>
      <c r="J420" s="16">
        <v>1124256</v>
      </c>
      <c r="K420" s="16">
        <v>1124256</v>
      </c>
      <c r="L420" s="16">
        <v>1124256</v>
      </c>
      <c r="M420" s="16">
        <v>1061215</v>
      </c>
      <c r="N420" s="16">
        <v>1061215</v>
      </c>
      <c r="O420" s="16">
        <v>826006</v>
      </c>
      <c r="P420" s="16">
        <v>569454</v>
      </c>
      <c r="Q420" s="16">
        <v>569454</v>
      </c>
      <c r="R420" s="16">
        <v>569454</v>
      </c>
      <c r="S420" s="16">
        <v>459038</v>
      </c>
    </row>
    <row r="421" spans="1:19" ht="10.9" customHeight="1" x14ac:dyDescent="0.2">
      <c r="F421" s="12" t="s">
        <v>411</v>
      </c>
      <c r="G421" s="16">
        <v>2948210</v>
      </c>
      <c r="H421" s="16">
        <v>2948210</v>
      </c>
      <c r="I421" s="16">
        <v>2948210</v>
      </c>
      <c r="J421" s="16">
        <v>2948210</v>
      </c>
      <c r="K421" s="16">
        <v>2948210</v>
      </c>
      <c r="L421" s="16">
        <v>2948210</v>
      </c>
      <c r="M421" s="16">
        <v>2854460</v>
      </c>
      <c r="N421" s="16">
        <v>2745596</v>
      </c>
      <c r="O421" s="16">
        <v>1106013</v>
      </c>
      <c r="P421" s="16">
        <v>848200</v>
      </c>
      <c r="Q421" s="16">
        <v>848200</v>
      </c>
      <c r="R421" s="16">
        <v>633617</v>
      </c>
      <c r="S421" s="16">
        <v>491950</v>
      </c>
    </row>
    <row r="422" spans="1:19" ht="10.9" customHeight="1" x14ac:dyDescent="0.2">
      <c r="F422" s="12" t="s">
        <v>412</v>
      </c>
      <c r="G422" s="16">
        <v>3411110</v>
      </c>
      <c r="H422" s="16">
        <v>3379373</v>
      </c>
      <c r="I422" s="16">
        <v>3379373</v>
      </c>
      <c r="J422" s="16">
        <v>3379373</v>
      </c>
      <c r="K422" s="16">
        <v>3379373</v>
      </c>
      <c r="L422" s="16">
        <v>3379373</v>
      </c>
      <c r="M422" s="16">
        <v>3081093</v>
      </c>
      <c r="N422" s="16">
        <v>3029167</v>
      </c>
      <c r="O422" s="16">
        <v>2224917</v>
      </c>
      <c r="P422" s="16">
        <v>2224917</v>
      </c>
      <c r="Q422" s="16">
        <v>1792167</v>
      </c>
      <c r="R422" s="16">
        <v>1523521</v>
      </c>
      <c r="S422" s="16">
        <v>1523521</v>
      </c>
    </row>
    <row r="423" spans="1:19" ht="10.9" customHeight="1" x14ac:dyDescent="0.2">
      <c r="F423" s="12" t="s">
        <v>413</v>
      </c>
      <c r="G423" s="16">
        <v>626979</v>
      </c>
      <c r="H423" s="16">
        <v>626979</v>
      </c>
      <c r="I423" s="16">
        <v>626979</v>
      </c>
      <c r="J423" s="16">
        <v>626979</v>
      </c>
      <c r="K423" s="16">
        <v>626979</v>
      </c>
      <c r="L423" s="16">
        <v>626979</v>
      </c>
      <c r="M423" s="16">
        <v>626979</v>
      </c>
      <c r="N423" s="16">
        <v>626979</v>
      </c>
      <c r="O423" s="16">
        <v>626979</v>
      </c>
      <c r="P423" s="16">
        <v>626979</v>
      </c>
      <c r="Q423" s="16">
        <v>626979</v>
      </c>
      <c r="R423" s="16">
        <v>626979</v>
      </c>
      <c r="S423" s="16">
        <v>626979</v>
      </c>
    </row>
    <row r="424" spans="1:19" ht="10.9" customHeight="1" x14ac:dyDescent="0.2">
      <c r="F424" s="12" t="s">
        <v>414</v>
      </c>
      <c r="G424" s="16">
        <v>912488</v>
      </c>
      <c r="H424" s="16">
        <v>912488</v>
      </c>
      <c r="I424" s="16">
        <v>912488</v>
      </c>
      <c r="J424" s="16">
        <v>912488</v>
      </c>
      <c r="K424" s="16">
        <v>912488</v>
      </c>
      <c r="L424" s="16">
        <v>912488</v>
      </c>
      <c r="M424" s="16">
        <v>818738</v>
      </c>
      <c r="N424" s="16">
        <v>791072</v>
      </c>
      <c r="O424" s="16">
        <v>791072</v>
      </c>
      <c r="P424" s="16">
        <v>791072</v>
      </c>
      <c r="Q424" s="16">
        <v>584613</v>
      </c>
      <c r="R424" s="16">
        <v>584613</v>
      </c>
      <c r="S424" s="16">
        <v>584613</v>
      </c>
    </row>
    <row r="425" spans="1:19" ht="10.9" customHeight="1" x14ac:dyDescent="0.2">
      <c r="F425" s="12" t="s">
        <v>415</v>
      </c>
      <c r="G425" s="16">
        <v>786798</v>
      </c>
      <c r="H425" s="16">
        <v>786798</v>
      </c>
      <c r="I425" s="16">
        <v>350706</v>
      </c>
      <c r="J425" s="16">
        <v>350706</v>
      </c>
      <c r="K425" s="16">
        <v>350706</v>
      </c>
      <c r="L425" s="16">
        <v>350706</v>
      </c>
      <c r="M425" s="16">
        <v>287345</v>
      </c>
      <c r="N425" s="16">
        <v>287345</v>
      </c>
      <c r="O425" s="16">
        <v>287345</v>
      </c>
      <c r="P425" s="16">
        <v>287345</v>
      </c>
      <c r="Q425" s="16">
        <v>287345</v>
      </c>
      <c r="R425" s="16">
        <v>287345</v>
      </c>
      <c r="S425" s="16">
        <v>287345</v>
      </c>
    </row>
    <row r="426" spans="1:19" ht="10.9" customHeight="1" x14ac:dyDescent="0.2">
      <c r="F426" s="12" t="s">
        <v>416</v>
      </c>
      <c r="G426" s="16">
        <v>1572656</v>
      </c>
      <c r="H426" s="16">
        <v>1572656</v>
      </c>
      <c r="I426" s="16">
        <v>1136563</v>
      </c>
      <c r="J426" s="16">
        <v>1136563</v>
      </c>
      <c r="K426" s="16">
        <v>1136563</v>
      </c>
      <c r="L426" s="16">
        <v>1136563</v>
      </c>
      <c r="M426" s="16">
        <v>1136563</v>
      </c>
      <c r="N426" s="16">
        <v>1082188</v>
      </c>
      <c r="O426" s="16">
        <v>1082188</v>
      </c>
      <c r="P426" s="16">
        <v>1082188</v>
      </c>
      <c r="Q426" s="16">
        <v>1082188</v>
      </c>
      <c r="R426" s="16">
        <v>1082188</v>
      </c>
      <c r="S426" s="16">
        <v>1082188</v>
      </c>
    </row>
    <row r="427" spans="1:19" ht="10.9" customHeight="1" x14ac:dyDescent="0.2">
      <c r="B427" s="13" t="s">
        <v>417</v>
      </c>
      <c r="G427" s="17">
        <f t="shared" ref="G427:S427" si="67">SUM(G413:G426)</f>
        <v>177080923</v>
      </c>
      <c r="H427" s="17">
        <f t="shared" si="67"/>
        <v>176168456</v>
      </c>
      <c r="I427" s="17">
        <f t="shared" si="67"/>
        <v>177240787</v>
      </c>
      <c r="J427" s="17">
        <f t="shared" si="67"/>
        <v>176885279</v>
      </c>
      <c r="K427" s="17">
        <f t="shared" si="67"/>
        <v>177014445</v>
      </c>
      <c r="L427" s="17">
        <f t="shared" si="67"/>
        <v>178278373</v>
      </c>
      <c r="M427" s="17">
        <f t="shared" si="67"/>
        <v>177723430</v>
      </c>
      <c r="N427" s="17">
        <f t="shared" si="67"/>
        <v>177548488</v>
      </c>
      <c r="O427" s="17">
        <f t="shared" si="67"/>
        <v>174522956</v>
      </c>
      <c r="P427" s="17">
        <f t="shared" si="67"/>
        <v>173569017</v>
      </c>
      <c r="Q427" s="17">
        <f t="shared" si="67"/>
        <v>173070433</v>
      </c>
      <c r="R427" s="17">
        <f t="shared" si="67"/>
        <v>172831475</v>
      </c>
      <c r="S427" s="17">
        <f t="shared" si="67"/>
        <v>172734392</v>
      </c>
    </row>
    <row r="428" spans="1:19" ht="10.9" customHeight="1" x14ac:dyDescent="0.2">
      <c r="A428" s="13" t="s">
        <v>418</v>
      </c>
      <c r="G428" s="17">
        <f t="shared" ref="G428:S428" si="68">(0 + G427)</f>
        <v>177080923</v>
      </c>
      <c r="H428" s="17">
        <f t="shared" si="68"/>
        <v>176168456</v>
      </c>
      <c r="I428" s="17">
        <f t="shared" si="68"/>
        <v>177240787</v>
      </c>
      <c r="J428" s="17">
        <f t="shared" si="68"/>
        <v>176885279</v>
      </c>
      <c r="K428" s="17">
        <f t="shared" si="68"/>
        <v>177014445</v>
      </c>
      <c r="L428" s="17">
        <f t="shared" si="68"/>
        <v>178278373</v>
      </c>
      <c r="M428" s="17">
        <f t="shared" si="68"/>
        <v>177723430</v>
      </c>
      <c r="N428" s="17">
        <f t="shared" si="68"/>
        <v>177548488</v>
      </c>
      <c r="O428" s="17">
        <f t="shared" si="68"/>
        <v>174522956</v>
      </c>
      <c r="P428" s="17">
        <f t="shared" si="68"/>
        <v>173569017</v>
      </c>
      <c r="Q428" s="17">
        <f t="shared" si="68"/>
        <v>173070433</v>
      </c>
      <c r="R428" s="17">
        <f t="shared" si="68"/>
        <v>172831475</v>
      </c>
      <c r="S428" s="17">
        <f t="shared" si="68"/>
        <v>172734392</v>
      </c>
    </row>
    <row r="429" spans="1:19" ht="13.35" customHeight="1" x14ac:dyDescent="0.25"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s="9" customFormat="1" ht="12.2" customHeight="1" x14ac:dyDescent="0.2">
      <c r="A430" s="6" t="s">
        <v>419</v>
      </c>
      <c r="B430" s="6"/>
      <c r="C430" s="6"/>
      <c r="D430" s="6"/>
      <c r="E430" s="6"/>
      <c r="F430" s="6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 spans="1:19" ht="10.9" customHeight="1" x14ac:dyDescent="0.2">
      <c r="F431" s="15" t="s">
        <v>420</v>
      </c>
      <c r="G431" s="21">
        <v>0</v>
      </c>
      <c r="H431" s="21">
        <v>0</v>
      </c>
      <c r="I431" s="21">
        <v>0</v>
      </c>
      <c r="J431" s="21">
        <v>8448308.0399999991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>
        <v>0</v>
      </c>
    </row>
    <row r="432" spans="1:19" ht="10.9" customHeight="1" x14ac:dyDescent="0.2">
      <c r="F432" s="12" t="s">
        <v>421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200000</v>
      </c>
      <c r="P432" s="16">
        <v>0</v>
      </c>
      <c r="Q432" s="16">
        <v>0</v>
      </c>
      <c r="R432" s="16">
        <v>0</v>
      </c>
      <c r="S432" s="16">
        <v>0</v>
      </c>
    </row>
    <row r="433" spans="1:19" ht="10.9" customHeight="1" x14ac:dyDescent="0.2">
      <c r="A433" s="13" t="s">
        <v>422</v>
      </c>
      <c r="G433" s="17">
        <f t="shared" ref="G433:S433" si="69">SUM(G431:G432)</f>
        <v>0</v>
      </c>
      <c r="H433" s="17">
        <f t="shared" si="69"/>
        <v>0</v>
      </c>
      <c r="I433" s="17">
        <f t="shared" si="69"/>
        <v>0</v>
      </c>
      <c r="J433" s="17">
        <f t="shared" si="69"/>
        <v>8448308.0399999991</v>
      </c>
      <c r="K433" s="17">
        <f t="shared" si="69"/>
        <v>0</v>
      </c>
      <c r="L433" s="17">
        <f t="shared" si="69"/>
        <v>0</v>
      </c>
      <c r="M433" s="17">
        <f t="shared" si="69"/>
        <v>0</v>
      </c>
      <c r="N433" s="17">
        <f t="shared" si="69"/>
        <v>0</v>
      </c>
      <c r="O433" s="17">
        <f t="shared" si="69"/>
        <v>200000</v>
      </c>
      <c r="P433" s="17">
        <f t="shared" si="69"/>
        <v>0</v>
      </c>
      <c r="Q433" s="17">
        <f t="shared" si="69"/>
        <v>0</v>
      </c>
      <c r="R433" s="17">
        <f t="shared" si="69"/>
        <v>0</v>
      </c>
      <c r="S433" s="17">
        <f t="shared" si="69"/>
        <v>0</v>
      </c>
    </row>
    <row r="434" spans="1:19" ht="13.35" customHeight="1" x14ac:dyDescent="0.25"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ht="10.9" customHeight="1" x14ac:dyDescent="0.2">
      <c r="F435" s="14" t="s">
        <v>423</v>
      </c>
      <c r="G435" s="20">
        <f t="shared" ref="G435:S435" si="70">(G409 - G428)</f>
        <v>692700414.86000001</v>
      </c>
      <c r="H435" s="20">
        <f t="shared" si="70"/>
        <v>122683981.44000018</v>
      </c>
      <c r="I435" s="20">
        <f t="shared" si="70"/>
        <v>-450183299.52999997</v>
      </c>
      <c r="J435" s="20">
        <f t="shared" si="70"/>
        <v>-148380393.53999954</v>
      </c>
      <c r="K435" s="20">
        <f t="shared" si="70"/>
        <v>-314879683.8499999</v>
      </c>
      <c r="L435" s="20">
        <f t="shared" si="70"/>
        <v>436208960.66999996</v>
      </c>
      <c r="M435" s="20">
        <f t="shared" si="70"/>
        <v>-49482948.669999957</v>
      </c>
      <c r="N435" s="20">
        <f t="shared" si="70"/>
        <v>1340445915.0599999</v>
      </c>
      <c r="O435" s="20">
        <f t="shared" si="70"/>
        <v>295763780.01999962</v>
      </c>
      <c r="P435" s="20">
        <f t="shared" si="70"/>
        <v>-46247590.619999647</v>
      </c>
      <c r="Q435" s="20">
        <f t="shared" si="70"/>
        <v>203541798.28999984</v>
      </c>
      <c r="R435" s="20">
        <f t="shared" si="70"/>
        <v>-121509674.62000012</v>
      </c>
      <c r="S435" s="20">
        <f t="shared" si="70"/>
        <v>-527881624.90999985</v>
      </c>
    </row>
  </sheetData>
  <pageMargins left="0.7" right="0.7" top="0.75" bottom="0.75" header="0.3" footer="0.3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Aditya Rahman</dc:creator>
  <cp:lastModifiedBy>Fajar Aditya Rahman</cp:lastModifiedBy>
  <dcterms:created xsi:type="dcterms:W3CDTF">2026-04-29T01:08:29Z</dcterms:created>
  <dcterms:modified xsi:type="dcterms:W3CDTF">2026-04-29T06:06:54Z</dcterms:modified>
</cp:coreProperties>
</file>