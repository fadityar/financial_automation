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inancial_automation\"/>
    </mc:Choice>
  </mc:AlternateContent>
  <xr:revisionPtr revIDLastSave="0" documentId="8_{425A30B7-7F90-4258-B17C-16E38448980A}" xr6:coauthVersionLast="47" xr6:coauthVersionMax="47" xr10:uidLastSave="{00000000-0000-0000-0000-000000000000}"/>
  <bookViews>
    <workbookView xWindow="-120" yWindow="-120" windowWidth="29040" windowHeight="15840" xr2:uid="{FC1DE28B-20D4-4352-B81C-69B33F180141}"/>
  </bookViews>
  <sheets>
    <sheet name="Profit and Loss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433" i="2" l="1"/>
  <c r="R433" i="2"/>
  <c r="Q433" i="2"/>
  <c r="P433" i="2"/>
  <c r="O433" i="2"/>
  <c r="N433" i="2"/>
  <c r="M433" i="2"/>
  <c r="L433" i="2"/>
  <c r="K433" i="2"/>
  <c r="J433" i="2"/>
  <c r="I433" i="2"/>
  <c r="H433" i="2"/>
  <c r="G433" i="2"/>
  <c r="S427" i="2"/>
  <c r="S428" i="2" s="1"/>
  <c r="R427" i="2"/>
  <c r="R428" i="2" s="1"/>
  <c r="Q427" i="2"/>
  <c r="Q428" i="2" s="1"/>
  <c r="P427" i="2"/>
  <c r="P428" i="2" s="1"/>
  <c r="O427" i="2"/>
  <c r="O428" i="2" s="1"/>
  <c r="N427" i="2"/>
  <c r="N428" i="2" s="1"/>
  <c r="M427" i="2"/>
  <c r="M428" i="2" s="1"/>
  <c r="L427" i="2"/>
  <c r="L428" i="2" s="1"/>
  <c r="K427" i="2"/>
  <c r="K428" i="2" s="1"/>
  <c r="J427" i="2"/>
  <c r="J428" i="2" s="1"/>
  <c r="I427" i="2"/>
  <c r="I428" i="2" s="1"/>
  <c r="H427" i="2"/>
  <c r="H428" i="2" s="1"/>
  <c r="G427" i="2"/>
  <c r="G428" i="2" s="1"/>
  <c r="Q407" i="2"/>
  <c r="S406" i="2"/>
  <c r="R406" i="2"/>
  <c r="R407" i="2" s="1"/>
  <c r="Q406" i="2"/>
  <c r="P406" i="2"/>
  <c r="O406" i="2"/>
  <c r="N406" i="2"/>
  <c r="N407" i="2" s="1"/>
  <c r="M406" i="2"/>
  <c r="L406" i="2"/>
  <c r="K406" i="2"/>
  <c r="J406" i="2"/>
  <c r="J407" i="2" s="1"/>
  <c r="I406" i="2"/>
  <c r="H406" i="2"/>
  <c r="G406" i="2"/>
  <c r="S397" i="2"/>
  <c r="S407" i="2" s="1"/>
  <c r="R397" i="2"/>
  <c r="Q397" i="2"/>
  <c r="P397" i="2"/>
  <c r="P407" i="2" s="1"/>
  <c r="O397" i="2"/>
  <c r="O407" i="2" s="1"/>
  <c r="N397" i="2"/>
  <c r="M397" i="2"/>
  <c r="M407" i="2" s="1"/>
  <c r="L397" i="2"/>
  <c r="L407" i="2" s="1"/>
  <c r="K397" i="2"/>
  <c r="K407" i="2" s="1"/>
  <c r="J397" i="2"/>
  <c r="I397" i="2"/>
  <c r="I407" i="2" s="1"/>
  <c r="H397" i="2"/>
  <c r="H407" i="2" s="1"/>
  <c r="G397" i="2"/>
  <c r="G407" i="2" s="1"/>
  <c r="L385" i="2"/>
  <c r="K385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G384" i="2"/>
  <c r="S376" i="2"/>
  <c r="S385" i="2" s="1"/>
  <c r="R376" i="2"/>
  <c r="R385" i="2" s="1"/>
  <c r="Q376" i="2"/>
  <c r="P376" i="2"/>
  <c r="O376" i="2"/>
  <c r="O385" i="2" s="1"/>
  <c r="N376" i="2"/>
  <c r="N385" i="2" s="1"/>
  <c r="M376" i="2"/>
  <c r="L376" i="2"/>
  <c r="K376" i="2"/>
  <c r="J376" i="2"/>
  <c r="J385" i="2" s="1"/>
  <c r="I376" i="2"/>
  <c r="H376" i="2"/>
  <c r="G376" i="2"/>
  <c r="G385" i="2" s="1"/>
  <c r="S368" i="2"/>
  <c r="R368" i="2"/>
  <c r="Q368" i="2"/>
  <c r="P368" i="2"/>
  <c r="O368" i="2"/>
  <c r="N368" i="2"/>
  <c r="M368" i="2"/>
  <c r="L368" i="2"/>
  <c r="K368" i="2"/>
  <c r="J368" i="2"/>
  <c r="I368" i="2"/>
  <c r="H368" i="2"/>
  <c r="G368" i="2"/>
  <c r="S359" i="2"/>
  <c r="R359" i="2"/>
  <c r="Q359" i="2"/>
  <c r="P359" i="2"/>
  <c r="O359" i="2"/>
  <c r="N359" i="2"/>
  <c r="M359" i="2"/>
  <c r="L359" i="2"/>
  <c r="K359" i="2"/>
  <c r="J359" i="2"/>
  <c r="I359" i="2"/>
  <c r="H359" i="2"/>
  <c r="G359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S348" i="2"/>
  <c r="R348" i="2"/>
  <c r="Q348" i="2"/>
  <c r="P348" i="2"/>
  <c r="O348" i="2"/>
  <c r="O360" i="2" s="1"/>
  <c r="N348" i="2"/>
  <c r="M348" i="2"/>
  <c r="L348" i="2"/>
  <c r="K348" i="2"/>
  <c r="J348" i="2"/>
  <c r="I348" i="2"/>
  <c r="H348" i="2"/>
  <c r="G348" i="2"/>
  <c r="G360" i="2" s="1"/>
  <c r="S338" i="2"/>
  <c r="R338" i="2"/>
  <c r="Q338" i="2"/>
  <c r="P338" i="2"/>
  <c r="O338" i="2"/>
  <c r="N338" i="2"/>
  <c r="M338" i="2"/>
  <c r="L338" i="2"/>
  <c r="K338" i="2"/>
  <c r="J338" i="2"/>
  <c r="I338" i="2"/>
  <c r="H338" i="2"/>
  <c r="G338" i="2"/>
  <c r="S331" i="2"/>
  <c r="R331" i="2"/>
  <c r="Q331" i="2"/>
  <c r="P331" i="2"/>
  <c r="O331" i="2"/>
  <c r="N331" i="2"/>
  <c r="M331" i="2"/>
  <c r="L331" i="2"/>
  <c r="K331" i="2"/>
  <c r="J331" i="2"/>
  <c r="I331" i="2"/>
  <c r="H331" i="2"/>
  <c r="G331" i="2"/>
  <c r="S324" i="2"/>
  <c r="R324" i="2"/>
  <c r="Q324" i="2"/>
  <c r="P324" i="2"/>
  <c r="O324" i="2"/>
  <c r="N324" i="2"/>
  <c r="M324" i="2"/>
  <c r="L324" i="2"/>
  <c r="K324" i="2"/>
  <c r="J324" i="2"/>
  <c r="I324" i="2"/>
  <c r="H324" i="2"/>
  <c r="G324" i="2"/>
  <c r="S315" i="2"/>
  <c r="S339" i="2" s="1"/>
  <c r="R315" i="2"/>
  <c r="R339" i="2" s="1"/>
  <c r="Q315" i="2"/>
  <c r="P315" i="2"/>
  <c r="P339" i="2" s="1"/>
  <c r="O315" i="2"/>
  <c r="O339" i="2" s="1"/>
  <c r="N315" i="2"/>
  <c r="N339" i="2" s="1"/>
  <c r="M315" i="2"/>
  <c r="L315" i="2"/>
  <c r="L339" i="2" s="1"/>
  <c r="K315" i="2"/>
  <c r="K339" i="2" s="1"/>
  <c r="J315" i="2"/>
  <c r="J339" i="2" s="1"/>
  <c r="I315" i="2"/>
  <c r="H315" i="2"/>
  <c r="H339" i="2" s="1"/>
  <c r="G315" i="2"/>
  <c r="G339" i="2" s="1"/>
  <c r="S304" i="2"/>
  <c r="R304" i="2"/>
  <c r="Q304" i="2"/>
  <c r="P304" i="2"/>
  <c r="O304" i="2"/>
  <c r="N304" i="2"/>
  <c r="M304" i="2"/>
  <c r="L304" i="2"/>
  <c r="K304" i="2"/>
  <c r="J304" i="2"/>
  <c r="I304" i="2"/>
  <c r="H304" i="2"/>
  <c r="G304" i="2"/>
  <c r="S295" i="2"/>
  <c r="R295" i="2"/>
  <c r="Q295" i="2"/>
  <c r="P295" i="2"/>
  <c r="O295" i="2"/>
  <c r="N295" i="2"/>
  <c r="M295" i="2"/>
  <c r="L295" i="2"/>
  <c r="K295" i="2"/>
  <c r="J295" i="2"/>
  <c r="I295" i="2"/>
  <c r="H295" i="2"/>
  <c r="G295" i="2"/>
  <c r="S285" i="2"/>
  <c r="R285" i="2"/>
  <c r="Q285" i="2"/>
  <c r="P285" i="2"/>
  <c r="O285" i="2"/>
  <c r="N285" i="2"/>
  <c r="M285" i="2"/>
  <c r="L285" i="2"/>
  <c r="K285" i="2"/>
  <c r="J285" i="2"/>
  <c r="I285" i="2"/>
  <c r="H285" i="2"/>
  <c r="G285" i="2"/>
  <c r="S277" i="2"/>
  <c r="S286" i="2" s="1"/>
  <c r="S305" i="2" s="1"/>
  <c r="R277" i="2"/>
  <c r="R286" i="2" s="1"/>
  <c r="R305" i="2" s="1"/>
  <c r="Q277" i="2"/>
  <c r="P277" i="2"/>
  <c r="P286" i="2" s="1"/>
  <c r="P305" i="2" s="1"/>
  <c r="O277" i="2"/>
  <c r="O286" i="2" s="1"/>
  <c r="N277" i="2"/>
  <c r="N286" i="2" s="1"/>
  <c r="N305" i="2" s="1"/>
  <c r="M277" i="2"/>
  <c r="L277" i="2"/>
  <c r="K277" i="2"/>
  <c r="K286" i="2" s="1"/>
  <c r="K305" i="2" s="1"/>
  <c r="J277" i="2"/>
  <c r="J286" i="2" s="1"/>
  <c r="J305" i="2" s="1"/>
  <c r="I277" i="2"/>
  <c r="H277" i="2"/>
  <c r="H286" i="2" s="1"/>
  <c r="H305" i="2" s="1"/>
  <c r="G277" i="2"/>
  <c r="G286" i="2" s="1"/>
  <c r="S259" i="2"/>
  <c r="R259" i="2"/>
  <c r="Q259" i="2"/>
  <c r="P259" i="2"/>
  <c r="O259" i="2"/>
  <c r="N259" i="2"/>
  <c r="M259" i="2"/>
  <c r="L259" i="2"/>
  <c r="K259" i="2"/>
  <c r="J259" i="2"/>
  <c r="I259" i="2"/>
  <c r="H259" i="2"/>
  <c r="G259" i="2"/>
  <c r="S253" i="2"/>
  <c r="R253" i="2"/>
  <c r="R260" i="2" s="1"/>
  <c r="Q253" i="2"/>
  <c r="Q260" i="2" s="1"/>
  <c r="P253" i="2"/>
  <c r="O253" i="2"/>
  <c r="O260" i="2" s="1"/>
  <c r="N253" i="2"/>
  <c r="N260" i="2" s="1"/>
  <c r="M253" i="2"/>
  <c r="M260" i="2" s="1"/>
  <c r="L253" i="2"/>
  <c r="K253" i="2"/>
  <c r="J253" i="2"/>
  <c r="J260" i="2" s="1"/>
  <c r="I253" i="2"/>
  <c r="I260" i="2" s="1"/>
  <c r="H253" i="2"/>
  <c r="G253" i="2"/>
  <c r="G260" i="2" s="1"/>
  <c r="S232" i="2"/>
  <c r="R232" i="2"/>
  <c r="Q232" i="2"/>
  <c r="P232" i="2"/>
  <c r="O232" i="2"/>
  <c r="N232" i="2"/>
  <c r="M232" i="2"/>
  <c r="L232" i="2"/>
  <c r="K232" i="2"/>
  <c r="J232" i="2"/>
  <c r="I232" i="2"/>
  <c r="H232" i="2"/>
  <c r="G232" i="2"/>
  <c r="S213" i="2"/>
  <c r="R213" i="2"/>
  <c r="Q213" i="2"/>
  <c r="P213" i="2"/>
  <c r="O213" i="2"/>
  <c r="N213" i="2"/>
  <c r="M213" i="2"/>
  <c r="L213" i="2"/>
  <c r="K213" i="2"/>
  <c r="J213" i="2"/>
  <c r="I213" i="2"/>
  <c r="H213" i="2"/>
  <c r="G213" i="2"/>
  <c r="S192" i="2"/>
  <c r="S214" i="2" s="1"/>
  <c r="R192" i="2"/>
  <c r="R214" i="2" s="1"/>
  <c r="Q192" i="2"/>
  <c r="Q214" i="2" s="1"/>
  <c r="P192" i="2"/>
  <c r="P214" i="2" s="1"/>
  <c r="O192" i="2"/>
  <c r="N192" i="2"/>
  <c r="N214" i="2" s="1"/>
  <c r="M192" i="2"/>
  <c r="M214" i="2" s="1"/>
  <c r="L192" i="2"/>
  <c r="L214" i="2" s="1"/>
  <c r="K192" i="2"/>
  <c r="K214" i="2" s="1"/>
  <c r="J192" i="2"/>
  <c r="J214" i="2" s="1"/>
  <c r="I192" i="2"/>
  <c r="I214" i="2" s="1"/>
  <c r="H192" i="2"/>
  <c r="H214" i="2" s="1"/>
  <c r="G192" i="2"/>
  <c r="S182" i="2"/>
  <c r="R182" i="2"/>
  <c r="Q182" i="2"/>
  <c r="P182" i="2"/>
  <c r="O182" i="2"/>
  <c r="N182" i="2"/>
  <c r="M182" i="2"/>
  <c r="L182" i="2"/>
  <c r="K182" i="2"/>
  <c r="J182" i="2"/>
  <c r="I182" i="2"/>
  <c r="H182" i="2"/>
  <c r="G182" i="2"/>
  <c r="S174" i="2"/>
  <c r="R174" i="2"/>
  <c r="Q174" i="2"/>
  <c r="P174" i="2"/>
  <c r="O174" i="2"/>
  <c r="N174" i="2"/>
  <c r="M174" i="2"/>
  <c r="L174" i="2"/>
  <c r="K174" i="2"/>
  <c r="J174" i="2"/>
  <c r="I174" i="2"/>
  <c r="H174" i="2"/>
  <c r="G174" i="2"/>
  <c r="S166" i="2"/>
  <c r="R166" i="2"/>
  <c r="Q166" i="2"/>
  <c r="P166" i="2"/>
  <c r="O166" i="2"/>
  <c r="N166" i="2"/>
  <c r="M166" i="2"/>
  <c r="L166" i="2"/>
  <c r="K166" i="2"/>
  <c r="J166" i="2"/>
  <c r="I166" i="2"/>
  <c r="H166" i="2"/>
  <c r="G166" i="2"/>
  <c r="S152" i="2"/>
  <c r="R152" i="2"/>
  <c r="R183" i="2" s="1"/>
  <c r="Q152" i="2"/>
  <c r="Q183" i="2" s="1"/>
  <c r="Q261" i="2" s="1"/>
  <c r="Q263" i="2" s="1"/>
  <c r="P152" i="2"/>
  <c r="O152" i="2"/>
  <c r="N152" i="2"/>
  <c r="N183" i="2" s="1"/>
  <c r="M152" i="2"/>
  <c r="M183" i="2" s="1"/>
  <c r="M261" i="2" s="1"/>
  <c r="M263" i="2" s="1"/>
  <c r="L152" i="2"/>
  <c r="K152" i="2"/>
  <c r="J152" i="2"/>
  <c r="J183" i="2" s="1"/>
  <c r="I152" i="2"/>
  <c r="I183" i="2" s="1"/>
  <c r="I261" i="2" s="1"/>
  <c r="I263" i="2" s="1"/>
  <c r="H152" i="2"/>
  <c r="G152" i="2"/>
  <c r="S133" i="2"/>
  <c r="R133" i="2"/>
  <c r="Q133" i="2"/>
  <c r="P133" i="2"/>
  <c r="O133" i="2"/>
  <c r="N133" i="2"/>
  <c r="M133" i="2"/>
  <c r="L133" i="2"/>
  <c r="K133" i="2"/>
  <c r="J133" i="2"/>
  <c r="I133" i="2"/>
  <c r="H133" i="2"/>
  <c r="G133" i="2"/>
  <c r="S118" i="2"/>
  <c r="R118" i="2"/>
  <c r="Q118" i="2"/>
  <c r="P118" i="2"/>
  <c r="O118" i="2"/>
  <c r="N118" i="2"/>
  <c r="M118" i="2"/>
  <c r="L118" i="2"/>
  <c r="K118" i="2"/>
  <c r="J118" i="2"/>
  <c r="I118" i="2"/>
  <c r="H118" i="2"/>
  <c r="G118" i="2"/>
  <c r="S98" i="2"/>
  <c r="R98" i="2"/>
  <c r="Q98" i="2"/>
  <c r="P98" i="2"/>
  <c r="O98" i="2"/>
  <c r="N98" i="2"/>
  <c r="M98" i="2"/>
  <c r="L98" i="2"/>
  <c r="K98" i="2"/>
  <c r="J98" i="2"/>
  <c r="I98" i="2"/>
  <c r="H98" i="2"/>
  <c r="G98" i="2"/>
  <c r="S86" i="2"/>
  <c r="S99" i="2" s="1"/>
  <c r="S134" i="2" s="1"/>
  <c r="S135" i="2" s="1"/>
  <c r="R86" i="2"/>
  <c r="R99" i="2" s="1"/>
  <c r="R134" i="2" s="1"/>
  <c r="R135" i="2" s="1"/>
  <c r="Q86" i="2"/>
  <c r="Q99" i="2" s="1"/>
  <c r="P86" i="2"/>
  <c r="P99" i="2" s="1"/>
  <c r="P134" i="2" s="1"/>
  <c r="P135" i="2" s="1"/>
  <c r="O86" i="2"/>
  <c r="N86" i="2"/>
  <c r="N99" i="2" s="1"/>
  <c r="M86" i="2"/>
  <c r="M99" i="2" s="1"/>
  <c r="L86" i="2"/>
  <c r="L99" i="2" s="1"/>
  <c r="L134" i="2" s="1"/>
  <c r="L135" i="2" s="1"/>
  <c r="K86" i="2"/>
  <c r="K99" i="2" s="1"/>
  <c r="K134" i="2" s="1"/>
  <c r="K135" i="2" s="1"/>
  <c r="J86" i="2"/>
  <c r="J99" i="2" s="1"/>
  <c r="J134" i="2" s="1"/>
  <c r="J135" i="2" s="1"/>
  <c r="I86" i="2"/>
  <c r="I99" i="2" s="1"/>
  <c r="H86" i="2"/>
  <c r="H99" i="2" s="1"/>
  <c r="H134" i="2" s="1"/>
  <c r="H135" i="2" s="1"/>
  <c r="G86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S65" i="2"/>
  <c r="S71" i="2" s="1"/>
  <c r="R65" i="2"/>
  <c r="R71" i="2" s="1"/>
  <c r="Q65" i="2"/>
  <c r="Q71" i="2" s="1"/>
  <c r="P65" i="2"/>
  <c r="P71" i="2" s="1"/>
  <c r="O65" i="2"/>
  <c r="O71" i="2" s="1"/>
  <c r="N65" i="2"/>
  <c r="M65" i="2"/>
  <c r="M71" i="2" s="1"/>
  <c r="L65" i="2"/>
  <c r="L71" i="2" s="1"/>
  <c r="K65" i="2"/>
  <c r="K71" i="2" s="1"/>
  <c r="J65" i="2"/>
  <c r="J71" i="2" s="1"/>
  <c r="I65" i="2"/>
  <c r="I71" i="2" s="1"/>
  <c r="H65" i="2"/>
  <c r="H71" i="2" s="1"/>
  <c r="G65" i="2"/>
  <c r="G71" i="2" s="1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S49" i="2"/>
  <c r="R49" i="2"/>
  <c r="R58" i="2" s="1"/>
  <c r="Q49" i="2"/>
  <c r="P49" i="2"/>
  <c r="O49" i="2"/>
  <c r="N49" i="2"/>
  <c r="N58" i="2" s="1"/>
  <c r="M49" i="2"/>
  <c r="L49" i="2"/>
  <c r="K49" i="2"/>
  <c r="J49" i="2"/>
  <c r="J58" i="2" s="1"/>
  <c r="I49" i="2"/>
  <c r="H49" i="2"/>
  <c r="G49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J264" i="2" l="1"/>
  <c r="R264" i="2"/>
  <c r="R265" i="2" s="1"/>
  <c r="N71" i="2"/>
  <c r="G99" i="2"/>
  <c r="G134" i="2" s="1"/>
  <c r="G135" i="2" s="1"/>
  <c r="O99" i="2"/>
  <c r="O134" i="2" s="1"/>
  <c r="O135" i="2" s="1"/>
  <c r="R386" i="2"/>
  <c r="R387" i="2" s="1"/>
  <c r="G214" i="2"/>
  <c r="O214" i="2"/>
  <c r="K260" i="2"/>
  <c r="S260" i="2"/>
  <c r="L286" i="2"/>
  <c r="L305" i="2" s="1"/>
  <c r="G386" i="2"/>
  <c r="O386" i="2"/>
  <c r="J360" i="2"/>
  <c r="J386" i="2" s="1"/>
  <c r="J387" i="2" s="1"/>
  <c r="N360" i="2"/>
  <c r="N386" i="2" s="1"/>
  <c r="N387" i="2" s="1"/>
  <c r="R360" i="2"/>
  <c r="H360" i="2"/>
  <c r="L360" i="2"/>
  <c r="L386" i="2" s="1"/>
  <c r="P360" i="2"/>
  <c r="P386" i="2" s="1"/>
  <c r="P387" i="2" s="1"/>
  <c r="J261" i="2"/>
  <c r="J263" i="2" s="1"/>
  <c r="N261" i="2"/>
  <c r="N263" i="2" s="1"/>
  <c r="R261" i="2"/>
  <c r="R263" i="2" s="1"/>
  <c r="I339" i="2"/>
  <c r="M339" i="2"/>
  <c r="Q339" i="2"/>
  <c r="K360" i="2"/>
  <c r="K386" i="2" s="1"/>
  <c r="K387" i="2" s="1"/>
  <c r="S360" i="2"/>
  <c r="S386" i="2" s="1"/>
  <c r="S387" i="2" s="1"/>
  <c r="I385" i="2"/>
  <c r="M385" i="2"/>
  <c r="Q385" i="2"/>
  <c r="H385" i="2"/>
  <c r="H386" i="2" s="1"/>
  <c r="H387" i="2" s="1"/>
  <c r="P385" i="2"/>
  <c r="L35" i="2"/>
  <c r="I58" i="2"/>
  <c r="I59" i="2" s="1"/>
  <c r="M58" i="2"/>
  <c r="M59" i="2" s="1"/>
  <c r="Q58" i="2"/>
  <c r="Q59" i="2" s="1"/>
  <c r="J35" i="2"/>
  <c r="N35" i="2"/>
  <c r="R35" i="2"/>
  <c r="H35" i="2"/>
  <c r="P35" i="2"/>
  <c r="G35" i="2"/>
  <c r="O35" i="2"/>
  <c r="K35" i="2"/>
  <c r="S35" i="2"/>
  <c r="I35" i="2"/>
  <c r="M35" i="2"/>
  <c r="Q35" i="2"/>
  <c r="J265" i="2"/>
  <c r="G58" i="2"/>
  <c r="K58" i="2"/>
  <c r="K59" i="2" s="1"/>
  <c r="O58" i="2"/>
  <c r="O59" i="2" s="1"/>
  <c r="S58" i="2"/>
  <c r="S59" i="2" s="1"/>
  <c r="N134" i="2"/>
  <c r="N135" i="2" s="1"/>
  <c r="N264" i="2" s="1"/>
  <c r="G183" i="2"/>
  <c r="K183" i="2"/>
  <c r="K261" i="2" s="1"/>
  <c r="K263" i="2" s="1"/>
  <c r="K264" i="2" s="1"/>
  <c r="K265" i="2" s="1"/>
  <c r="O183" i="2"/>
  <c r="O261" i="2" s="1"/>
  <c r="O263" i="2" s="1"/>
  <c r="O264" i="2" s="1"/>
  <c r="O265" i="2" s="1"/>
  <c r="S183" i="2"/>
  <c r="G59" i="2"/>
  <c r="J59" i="2"/>
  <c r="N59" i="2"/>
  <c r="R59" i="2"/>
  <c r="H58" i="2"/>
  <c r="H59" i="2" s="1"/>
  <c r="L58" i="2"/>
  <c r="L59" i="2" s="1"/>
  <c r="P58" i="2"/>
  <c r="P59" i="2" s="1"/>
  <c r="I134" i="2"/>
  <c r="I135" i="2" s="1"/>
  <c r="I264" i="2" s="1"/>
  <c r="I265" i="2" s="1"/>
  <c r="M134" i="2"/>
  <c r="M135" i="2" s="1"/>
  <c r="M264" i="2" s="1"/>
  <c r="M265" i="2" s="1"/>
  <c r="Q134" i="2"/>
  <c r="Q135" i="2" s="1"/>
  <c r="Q264" i="2" s="1"/>
  <c r="Q265" i="2" s="1"/>
  <c r="H183" i="2"/>
  <c r="L183" i="2"/>
  <c r="L261" i="2" s="1"/>
  <c r="L263" i="2" s="1"/>
  <c r="L264" i="2" s="1"/>
  <c r="L265" i="2" s="1"/>
  <c r="P183" i="2"/>
  <c r="P261" i="2" s="1"/>
  <c r="P263" i="2" s="1"/>
  <c r="P264" i="2" s="1"/>
  <c r="P265" i="2" s="1"/>
  <c r="H260" i="2"/>
  <c r="L260" i="2"/>
  <c r="P260" i="2"/>
  <c r="I286" i="2"/>
  <c r="I305" i="2" s="1"/>
  <c r="M286" i="2"/>
  <c r="M305" i="2" s="1"/>
  <c r="Q286" i="2"/>
  <c r="Q305" i="2" s="1"/>
  <c r="G305" i="2"/>
  <c r="G387" i="2" s="1"/>
  <c r="O305" i="2"/>
  <c r="O387" i="2" s="1"/>
  <c r="I360" i="2"/>
  <c r="I386" i="2" s="1"/>
  <c r="M360" i="2"/>
  <c r="M386" i="2" s="1"/>
  <c r="Q360" i="2"/>
  <c r="O389" i="2" l="1"/>
  <c r="O409" i="2" s="1"/>
  <c r="O435" i="2" s="1"/>
  <c r="G261" i="2"/>
  <c r="G263" i="2" s="1"/>
  <c r="G264" i="2" s="1"/>
  <c r="G265" i="2" s="1"/>
  <c r="S261" i="2"/>
  <c r="S263" i="2" s="1"/>
  <c r="S264" i="2" s="1"/>
  <c r="S265" i="2" s="1"/>
  <c r="S389" i="2" s="1"/>
  <c r="S409" i="2" s="1"/>
  <c r="S435" i="2" s="1"/>
  <c r="N265" i="2"/>
  <c r="N389" i="2" s="1"/>
  <c r="N409" i="2" s="1"/>
  <c r="N435" i="2" s="1"/>
  <c r="J389" i="2"/>
  <c r="J409" i="2" s="1"/>
  <c r="J435" i="2" s="1"/>
  <c r="L387" i="2"/>
  <c r="L389" i="2" s="1"/>
  <c r="L409" i="2" s="1"/>
  <c r="L435" i="2" s="1"/>
  <c r="G389" i="2"/>
  <c r="G409" i="2" s="1"/>
  <c r="G435" i="2" s="1"/>
  <c r="Q386" i="2"/>
  <c r="K389" i="2"/>
  <c r="K409" i="2" s="1"/>
  <c r="K435" i="2" s="1"/>
  <c r="R389" i="2"/>
  <c r="R409" i="2" s="1"/>
  <c r="R435" i="2" s="1"/>
  <c r="P389" i="2"/>
  <c r="P409" i="2" s="1"/>
  <c r="P435" i="2" s="1"/>
  <c r="I387" i="2"/>
  <c r="I389" i="2" s="1"/>
  <c r="I409" i="2" s="1"/>
  <c r="I435" i="2" s="1"/>
  <c r="Q387" i="2"/>
  <c r="Q389" i="2" s="1"/>
  <c r="Q409" i="2" s="1"/>
  <c r="Q435" i="2" s="1"/>
  <c r="H261" i="2"/>
  <c r="H263" i="2" s="1"/>
  <c r="H264" i="2" s="1"/>
  <c r="H265" i="2" s="1"/>
  <c r="H389" i="2" s="1"/>
  <c r="H409" i="2" s="1"/>
  <c r="H435" i="2" s="1"/>
  <c r="M387" i="2"/>
  <c r="M389" i="2" s="1"/>
  <c r="M409" i="2" s="1"/>
  <c r="M435" i="2" s="1"/>
</calcChain>
</file>

<file path=xl/sharedStrings.xml><?xml version="1.0" encoding="utf-8"?>
<sst xmlns="http://schemas.openxmlformats.org/spreadsheetml/2006/main" count="434" uniqueCount="424">
  <si>
    <t>Account</t>
  </si>
  <si>
    <t>Mar 2026</t>
  </si>
  <si>
    <t>Feb 2026</t>
  </si>
  <si>
    <t>Jan 2026</t>
  </si>
  <si>
    <t>Dec 2025</t>
  </si>
  <si>
    <t>Nov 2025</t>
  </si>
  <si>
    <t>Oct 2025</t>
  </si>
  <si>
    <t>Sep 2025</t>
  </si>
  <si>
    <t>Aug 2025</t>
  </si>
  <si>
    <t>Jul 2025</t>
  </si>
  <si>
    <t>Jun 2025</t>
  </si>
  <si>
    <t>May 2025</t>
  </si>
  <si>
    <t>Apr 2025</t>
  </si>
  <si>
    <t>Mar 2025</t>
  </si>
  <si>
    <t>REVENUE</t>
  </si>
  <si>
    <t>REVENUE - VILLA</t>
  </si>
  <si>
    <t>Rooms Revenue</t>
  </si>
  <si>
    <t>Total REVENUE - VILLA</t>
  </si>
  <si>
    <t>REVENUE - FOOD</t>
  </si>
  <si>
    <t>Food Revenue</t>
  </si>
  <si>
    <t>Banquet - Food Revenue</t>
  </si>
  <si>
    <t>Total REVENUE - FOOD</t>
  </si>
  <si>
    <t>REVENUE - BEVERAGE</t>
  </si>
  <si>
    <t>Beverage Revenue</t>
  </si>
  <si>
    <t>Banquet - Beverage Revenue</t>
  </si>
  <si>
    <t>Total REVENUE - BEVERAGE</t>
  </si>
  <si>
    <t>REVENUE - TRANSPORT</t>
  </si>
  <si>
    <t>Other Revenue - Transportation</t>
  </si>
  <si>
    <t>Total REVENUE - TRANSPORT</t>
  </si>
  <si>
    <t>REVENUE - LAUNDRY</t>
  </si>
  <si>
    <t>Laundry Revenue</t>
  </si>
  <si>
    <t>Total REVENUE - LAUNDRY</t>
  </si>
  <si>
    <t>REVENUE - WELLNESS</t>
  </si>
  <si>
    <t>Wellness &amp; Fitness Revenue</t>
  </si>
  <si>
    <t>Total REVENUE - WELLNESS</t>
  </si>
  <si>
    <t>OTHER INCOME</t>
  </si>
  <si>
    <t>Other Revenue</t>
  </si>
  <si>
    <t>Guest Activities Revenue</t>
  </si>
  <si>
    <t>Consignment Revenue</t>
  </si>
  <si>
    <t>CAM Fee</t>
  </si>
  <si>
    <t>SVM Fee</t>
  </si>
  <si>
    <t>Total OTHER INCOME</t>
  </si>
  <si>
    <t>Total REVENUE</t>
  </si>
  <si>
    <t>COST OF SALES</t>
  </si>
  <si>
    <t>COGS - FOOD</t>
  </si>
  <si>
    <t>Cost of Sales - Food</t>
  </si>
  <si>
    <t>Cost Of Sales - Banquet Food</t>
  </si>
  <si>
    <t>Total COGS - FOOD</t>
  </si>
  <si>
    <t>COGS - BEVERAGE</t>
  </si>
  <si>
    <t>Cost Of Sales - Beverage</t>
  </si>
  <si>
    <t>Cost Of Sales - Banquet Beverage</t>
  </si>
  <si>
    <t>Total COGS - BEVERAGE</t>
  </si>
  <si>
    <t>OTHER COST</t>
  </si>
  <si>
    <t>COST OF WELLNESS</t>
  </si>
  <si>
    <t>Cost Of Sales - Wellness Centre</t>
  </si>
  <si>
    <t>Total COST OF WELLNESS</t>
  </si>
  <si>
    <t>COST OF LAUNDRY</t>
  </si>
  <si>
    <t>Cost Of Sales - Laundry</t>
  </si>
  <si>
    <t>Total COST OF LAUNDRY</t>
  </si>
  <si>
    <t>COGS MOD</t>
  </si>
  <si>
    <t>Cost of Sales - Transportation</t>
  </si>
  <si>
    <t>Cost of Sales - Guest Activities</t>
  </si>
  <si>
    <t>Cost Of Sales - Other</t>
  </si>
  <si>
    <t>Total COGS MOD</t>
  </si>
  <si>
    <t>Total OTHER COST</t>
  </si>
  <si>
    <t>Total COST OF SALES</t>
  </si>
  <si>
    <t>OTHER EXPENSES</t>
  </si>
  <si>
    <t>ENERGY</t>
  </si>
  <si>
    <t xml:space="preserve">ENERGY - OPERATING DEPT </t>
  </si>
  <si>
    <t>ENERGY - LPG - OPERATING DEPT</t>
  </si>
  <si>
    <t>Total ENERGY - OPERATING DEPT</t>
  </si>
  <si>
    <t>ENERGY - NON OPERATING DEPT</t>
  </si>
  <si>
    <t>ENERGY - LPG - NON OPERATING DEPT</t>
  </si>
  <si>
    <t>ENERGY - ELECTRICITY - NON OPERATING DEPT</t>
  </si>
  <si>
    <t>Total ENERGY - NON OPERATING DEPT</t>
  </si>
  <si>
    <t>ENERGY - WATER</t>
  </si>
  <si>
    <t>Total ENERGY</t>
  </si>
  <si>
    <t>OPERATING DEPARTEMENT COST &amp; EXPENSES</t>
  </si>
  <si>
    <t xml:space="preserve">EXPENSES - OPERATING DEPT </t>
  </si>
  <si>
    <t>DEPT - VILLAS / ROOMS OTHER EXPENSES</t>
  </si>
  <si>
    <t>DEPT - HOUSEKEEPING OTHER EXPENSES</t>
  </si>
  <si>
    <t>HK - Equipments Expense</t>
  </si>
  <si>
    <t>HK - Operating Supplies Expense</t>
  </si>
  <si>
    <t>HK - Guest Supplies Expense</t>
  </si>
  <si>
    <t>HK - Laundry and Dry Cleaning</t>
  </si>
  <si>
    <t>HK - Transport</t>
  </si>
  <si>
    <t>HK - Cleaning Supplies Expense</t>
  </si>
  <si>
    <t>HK - Freight &amp; Courier</t>
  </si>
  <si>
    <t>HK - Printing &amp; Stationery</t>
  </si>
  <si>
    <t>HK - Uniform</t>
  </si>
  <si>
    <t>Total DEPT - HOUSEKEEPING OTHER EXPENSES</t>
  </si>
  <si>
    <t>DEPT - FO - OTHER EXPENSES</t>
  </si>
  <si>
    <t>FO - Parking</t>
  </si>
  <si>
    <t>FO - Operating Supplies Expense</t>
  </si>
  <si>
    <t>FO - Agent Commissions</t>
  </si>
  <si>
    <t>FO - Entertainment</t>
  </si>
  <si>
    <t>FO - Complimentary Services &amp; Gift</t>
  </si>
  <si>
    <t>FO - Printing &amp; Stationery</t>
  </si>
  <si>
    <t>FO - Transport</t>
  </si>
  <si>
    <t>FO - Guest Activities</t>
  </si>
  <si>
    <t>FO - Uniform</t>
  </si>
  <si>
    <t>FO – Guest Recovery</t>
  </si>
  <si>
    <t>Total DEPT - FO - OTHER EXPENSES</t>
  </si>
  <si>
    <t>Total DEPT - VILLAS / ROOMS OTHER EXPENSES</t>
  </si>
  <si>
    <t>DEPT - FOOD &amp; BEVERAGE OTHER EXPENSES</t>
  </si>
  <si>
    <t>FnB - Agent Commissions</t>
  </si>
  <si>
    <t>FnB - Cleaning Supplies Expense</t>
  </si>
  <si>
    <t>FnB - China , Glass, Flatware &amp; U</t>
  </si>
  <si>
    <t>FnB - Commission</t>
  </si>
  <si>
    <t>FnB - Equipments Rental</t>
  </si>
  <si>
    <t>FnB - Food and Beverage Testing</t>
  </si>
  <si>
    <t>FnB - Freight &amp; Courier</t>
  </si>
  <si>
    <t>FnB - Transport and Parking</t>
  </si>
  <si>
    <t>FnB - Guest Supplies Expense</t>
  </si>
  <si>
    <t>FnB - Kitchen Equipment Expense</t>
  </si>
  <si>
    <t>FnB - Music and Entertainment</t>
  </si>
  <si>
    <t>FnB - Operating Supplies Expense</t>
  </si>
  <si>
    <t>FnB - Other Expense</t>
  </si>
  <si>
    <t>FnB - Printing &amp; Stationary</t>
  </si>
  <si>
    <t>FnB - Spoilage</t>
  </si>
  <si>
    <t>FnB - Uniform</t>
  </si>
  <si>
    <t>FnB - Consultant and Professional Fees</t>
  </si>
  <si>
    <t>Total DEPT - FOOD &amp; BEVERAGE OTHER EXPENSES</t>
  </si>
  <si>
    <t>DEPT - WELLNESS OTHER EXPENSES</t>
  </si>
  <si>
    <t>Wellness - Consultant and Professional Fees</t>
  </si>
  <si>
    <t>Wellness - Complimentary Services &amp; Gift</t>
  </si>
  <si>
    <t>Wellness - Commission</t>
  </si>
  <si>
    <t>Wellness - Cleaning Supplies Expense</t>
  </si>
  <si>
    <t>Wellness - Health &amp; Beauty Products</t>
  </si>
  <si>
    <t>Wellness - Entertainment</t>
  </si>
  <si>
    <t>Wellness - Operating Supplies Expense</t>
  </si>
  <si>
    <t>Wellness - Printing &amp; Stationary</t>
  </si>
  <si>
    <t>Wellness - Transport</t>
  </si>
  <si>
    <t>Wellness - Uniform</t>
  </si>
  <si>
    <t>Wellness - LPG Expense</t>
  </si>
  <si>
    <t>Wellness - Uniform Laundry</t>
  </si>
  <si>
    <t>Wellness - Laundry and Dry Cleaning</t>
  </si>
  <si>
    <t>Total DEPT - WELLNESS OTHER EXPENSES</t>
  </si>
  <si>
    <t>Total EXPENSES - OPERATING DEPT</t>
  </si>
  <si>
    <t>Total OPERATING DEPARTEMENT COST &amp; EXPENSES</t>
  </si>
  <si>
    <t>NON-OPERATING DEPARTEMENT EXPENSES</t>
  </si>
  <si>
    <t>NON-OPERATING DEPARTEMENT OTHER EXPENSES</t>
  </si>
  <si>
    <t>DEPT - A&amp;G - OTHER EXPENSES</t>
  </si>
  <si>
    <t>A&amp;G - Consultant and Professional Fees</t>
  </si>
  <si>
    <t>A&amp;G - Entertainment</t>
  </si>
  <si>
    <t>A&amp;G - Head Office Expense</t>
  </si>
  <si>
    <t>A&amp;G - Operating Supplies Expense</t>
  </si>
  <si>
    <t>A&amp;G - Printing &amp; Stationery</t>
  </si>
  <si>
    <t>A&amp;G - Transport &amp; Parking</t>
  </si>
  <si>
    <t>A&amp;G - Travel</t>
  </si>
  <si>
    <t>A&amp;G - Uniform</t>
  </si>
  <si>
    <t>A&amp;G - Uniform Laundry</t>
  </si>
  <si>
    <t>A&amp;G - Rent Machine</t>
  </si>
  <si>
    <t>A&amp;G – House Use Room &amp; F&amp;B</t>
  </si>
  <si>
    <t>A&amp;G - Audit Fee</t>
  </si>
  <si>
    <t>Total DEPT - A&amp;G - OTHER EXPENSES</t>
  </si>
  <si>
    <t>DEPT - ACC &amp; FIN - OTHER EXPENSES</t>
  </si>
  <si>
    <t>ACC&amp;F - Bank Charges</t>
  </si>
  <si>
    <t>ACC&amp;F - Bank Revaluations</t>
  </si>
  <si>
    <t>ACC&amp;F - Consultant and Professional Fee</t>
  </si>
  <si>
    <t>ACC&amp;F - Credit card Commission</t>
  </si>
  <si>
    <t>ACC&amp;F - Donation</t>
  </si>
  <si>
    <t>ACC&amp;F - Entertainment</t>
  </si>
  <si>
    <t>ACC&amp;F - ERP , CRM , Accounting</t>
  </si>
  <si>
    <t>ACC&amp;F - Freight &amp; Courier</t>
  </si>
  <si>
    <t>ACC&amp;F - Operating Supplies Expense</t>
  </si>
  <si>
    <t>ACC&amp;F - Printing &amp; Stationary</t>
  </si>
  <si>
    <t>ACC&amp;F - Transport &amp; Parking</t>
  </si>
  <si>
    <t>ACC&amp;F - Telecommunication</t>
  </si>
  <si>
    <t>Total DEPT - ACC &amp; FIN - OTHER EXPENSES</t>
  </si>
  <si>
    <t>DEPT - LEGAL - OTHER EXPENSES</t>
  </si>
  <si>
    <t>Legal - Freight &amp; Courier</t>
  </si>
  <si>
    <t>Legal - Printing &amp; Stationary</t>
  </si>
  <si>
    <t>Legal - Uniform Laundry</t>
  </si>
  <si>
    <t>Legal - Operating Supplies</t>
  </si>
  <si>
    <t>Legal - Transport</t>
  </si>
  <si>
    <t>Legal - Entertainment</t>
  </si>
  <si>
    <t>Total DEPT - LEGAL - OTHER EXPENSES</t>
  </si>
  <si>
    <t>DEPT - IT - OTHER EXPENSES</t>
  </si>
  <si>
    <t>IT - Operating Supplies Expense</t>
  </si>
  <si>
    <t>IT - Printing &amp; Stationary</t>
  </si>
  <si>
    <t>IT - Freight &amp; Courier</t>
  </si>
  <si>
    <t>IT - Transport</t>
  </si>
  <si>
    <t>IT - Hardware and Equipment Expense</t>
  </si>
  <si>
    <t>IT - Subscription</t>
  </si>
  <si>
    <t>Total DEPT - IT - OTHER EXPENSES</t>
  </si>
  <si>
    <t>DEPT - ENG &amp; POM - OTHER EXPENSES</t>
  </si>
  <si>
    <t>DEPT - ENG - OTHER EXPENSES</t>
  </si>
  <si>
    <t>ENG - Equipments Expense</t>
  </si>
  <si>
    <t>ENG - Operating Supplies Expense</t>
  </si>
  <si>
    <t>ENG - Transport</t>
  </si>
  <si>
    <t>ENG - Freight &amp; Courier</t>
  </si>
  <si>
    <t>ENG - Printing &amp; Stationery</t>
  </si>
  <si>
    <t>ENG - Uniform</t>
  </si>
  <si>
    <t>Total DEPT - ENG - OTHER EXPENSES</t>
  </si>
  <si>
    <t>DEPT - POM - OTHER EXPENSES</t>
  </si>
  <si>
    <t>POM - Swimming Pool</t>
  </si>
  <si>
    <t>POM - Furnitures &amp; Equipments Expense</t>
  </si>
  <si>
    <t>POM - Painting and Decorations</t>
  </si>
  <si>
    <t>POM - Vehicle Repairs and Maintenance</t>
  </si>
  <si>
    <t>POM - Uniform</t>
  </si>
  <si>
    <t>POM - Pest Control</t>
  </si>
  <si>
    <t>POM - Pump Expense</t>
  </si>
  <si>
    <t>POM - Transport &amp; Parking</t>
  </si>
  <si>
    <t>POM - Operating Supplies Expense</t>
  </si>
  <si>
    <t>POM - Light Bulbs</t>
  </si>
  <si>
    <t>POM - Car Repair and Maintenance</t>
  </si>
  <si>
    <t>POM - Fuel for Genset</t>
  </si>
  <si>
    <t>POM - Insurance Expense</t>
  </si>
  <si>
    <t>POM - Heating, Ventilation &amp; AC</t>
  </si>
  <si>
    <t>POM - Plumbing</t>
  </si>
  <si>
    <t>POM - Cleaning &amp; Chemical Supplies</t>
  </si>
  <si>
    <t>POM - Repairs &amp; Maintenance Machine</t>
  </si>
  <si>
    <t>POM - Maint. Building</t>
  </si>
  <si>
    <t>POM - Grounds Maintenance and Landscaping</t>
  </si>
  <si>
    <t>Total DEPT - POM - OTHER EXPENSES</t>
  </si>
  <si>
    <t>Total DEPT - ENG &amp; POM - OTHER EXPENSES</t>
  </si>
  <si>
    <t>DEPT - S&amp;M - OTHER EXPENSES</t>
  </si>
  <si>
    <t>S&amp;M - Complimentary Services &amp; Gift</t>
  </si>
  <si>
    <t>S&amp;M - Operating Supplies Expense</t>
  </si>
  <si>
    <t>S&amp;M - Transport</t>
  </si>
  <si>
    <t>S&amp;M - Travel</t>
  </si>
  <si>
    <t>S&amp;M - Freight &amp; Courier</t>
  </si>
  <si>
    <t>S&amp;M - Consultant and Professional Fees</t>
  </si>
  <si>
    <t>S&amp;M - Telecommunication</t>
  </si>
  <si>
    <t>S&amp;M : Advertising Magazines and Newspaper</t>
  </si>
  <si>
    <t>S&amp;M - Subscriptions</t>
  </si>
  <si>
    <t>S&amp;M - Printing &amp; Stationary</t>
  </si>
  <si>
    <t>S&amp;M - Entertainment</t>
  </si>
  <si>
    <t>S&amp;M - Brochures and Flyers</t>
  </si>
  <si>
    <t>S&amp;M - Trade Show</t>
  </si>
  <si>
    <t>S&amp;M - Promotion</t>
  </si>
  <si>
    <t>S&amp;M - Marketing Fees</t>
  </si>
  <si>
    <t>S&amp;M - Other Expense</t>
  </si>
  <si>
    <t>Total DEPT - S&amp;M - OTHER EXPENSES</t>
  </si>
  <si>
    <t>DEPT - HR &amp; GA - OTHER EXPENSES</t>
  </si>
  <si>
    <t>DEPT - HR - OTHER EXPENSES</t>
  </si>
  <si>
    <t>HR - Canteen Equipment Expense</t>
  </si>
  <si>
    <t>HR - Employee Relations</t>
  </si>
  <si>
    <t>HR - Employee Dining Room</t>
  </si>
  <si>
    <t>HR - Entertainment</t>
  </si>
  <si>
    <t>HR - Uniform</t>
  </si>
  <si>
    <t>HR - Staff Quarter Equipments</t>
  </si>
  <si>
    <t>HR - Stamp Duties</t>
  </si>
  <si>
    <t>HR - Transport &amp; Parking</t>
  </si>
  <si>
    <t>HR - Uniform Laundry</t>
  </si>
  <si>
    <t>HR - Printing &amp; Stationary</t>
  </si>
  <si>
    <t>HR - Operating Supplies Expense</t>
  </si>
  <si>
    <t>HR - Recruitment</t>
  </si>
  <si>
    <t>HR - Medical Expenses</t>
  </si>
  <si>
    <t>HR - Software</t>
  </si>
  <si>
    <t>HR - Other Expense</t>
  </si>
  <si>
    <t>HR - Permit and Licency Expense</t>
  </si>
  <si>
    <t>HR - Trainee Expense</t>
  </si>
  <si>
    <t>HR - Staff Benefit</t>
  </si>
  <si>
    <t>Total DEPT - HR - OTHER EXPENSES</t>
  </si>
  <si>
    <t>DEPT - SECURITY - OTHER EXPENSES</t>
  </si>
  <si>
    <t>Security - Transport</t>
  </si>
  <si>
    <t>Security - Operating Supplies Expense</t>
  </si>
  <si>
    <t>Security - Printing &amp; Stationary</t>
  </si>
  <si>
    <t>Security - Uniform</t>
  </si>
  <si>
    <t>Total DEPT - SECURITY - OTHER EXPENSES</t>
  </si>
  <si>
    <t>Total DEPT - HR &amp; GA - OTHER EXPENSES</t>
  </si>
  <si>
    <t>Total NON-OPERATING DEPARTEMENT OTHER EXPENSES</t>
  </si>
  <si>
    <t>VILLA EXPENSES</t>
  </si>
  <si>
    <t>Total NON-OPERATING DEPARTEMENT EXPENSES</t>
  </si>
  <si>
    <t>Total OTHER EXPENSES</t>
  </si>
  <si>
    <t>PAYROLL</t>
  </si>
  <si>
    <t>PAYROLL - OPERATING DEPT</t>
  </si>
  <si>
    <t>DEPT VILLAS / ROOMS</t>
  </si>
  <si>
    <t>DEPT - HK - PAYROLL</t>
  </si>
  <si>
    <t>HK - Salaries &amp; Wages</t>
  </si>
  <si>
    <t>HK - BPJS KETENAGAKERJAAN</t>
  </si>
  <si>
    <t>HK - BPJS KESEHATAN</t>
  </si>
  <si>
    <t>HK - THR and Bonus</t>
  </si>
  <si>
    <t>HK - Daily Worker</t>
  </si>
  <si>
    <t>HK - Employee Meals</t>
  </si>
  <si>
    <t>Total DEPT - HK - PAYROLL</t>
  </si>
  <si>
    <t>DEPT - FO - PAYROLL</t>
  </si>
  <si>
    <t>FO - Salaries &amp; Wages</t>
  </si>
  <si>
    <t>FO - BPJS KETENAGAKERJAAN</t>
  </si>
  <si>
    <t>FO - BPJS KESEHATAN</t>
  </si>
  <si>
    <t>FO - THR and Bonus</t>
  </si>
  <si>
    <t>FO - Daily Worker</t>
  </si>
  <si>
    <t>FO - Employee Meals</t>
  </si>
  <si>
    <t>Total DEPT - FO - PAYROLL</t>
  </si>
  <si>
    <t>Total DEPT VILLAS / ROOMS</t>
  </si>
  <si>
    <t>DEPT - FOOD &amp; BEVERAGE</t>
  </si>
  <si>
    <t>FnB - Salaries &amp; Wages</t>
  </si>
  <si>
    <t>FnB - Income Tax Expense</t>
  </si>
  <si>
    <t>FnB - BPJS KETENAGAKERJAAN</t>
  </si>
  <si>
    <t>FnB - BPJS KESEHATAN</t>
  </si>
  <si>
    <t>FnB - THR and Bonus</t>
  </si>
  <si>
    <t>FnB - Daily Worker</t>
  </si>
  <si>
    <t>FnB - Employee Meals</t>
  </si>
  <si>
    <t>Total DEPT - FOOD &amp; BEVERAGE</t>
  </si>
  <si>
    <t>DEPT - WELLNESS</t>
  </si>
  <si>
    <t>Wellness - Salaries &amp; Wages</t>
  </si>
  <si>
    <t>Wellness - Income Tax Expense</t>
  </si>
  <si>
    <t>Wellness - BPJS KETENAGAKERJAAN</t>
  </si>
  <si>
    <t>Wellness - BPJS KESEHATAN</t>
  </si>
  <si>
    <t>Wellness - THR and Bonus</t>
  </si>
  <si>
    <t>Wellness - Daily Worker</t>
  </si>
  <si>
    <t>Wellness - Employee Meals</t>
  </si>
  <si>
    <t>Total DEPT - WELLNESS</t>
  </si>
  <si>
    <t>Total PAYROLL - OPERATING DEPT</t>
  </si>
  <si>
    <t>PAYROLL - NON OPERATING DEPT</t>
  </si>
  <si>
    <t>DEPT - A&amp;G - PAYROLL</t>
  </si>
  <si>
    <t>DEPT - ACC &amp; FIN - PAYROLL</t>
  </si>
  <si>
    <t>ACC&amp;F - Salaries &amp; Wages</t>
  </si>
  <si>
    <t>ACC&amp;F - Income Tax Expense</t>
  </si>
  <si>
    <t>ACC&amp;F - BPJS KETENAGAKERJAAN</t>
  </si>
  <si>
    <t>ACC&amp;F - BPJS KESEHATAN</t>
  </si>
  <si>
    <t>ACC&amp;F - THR and Bonus</t>
  </si>
  <si>
    <t>ACC&amp;F - Employee Meals</t>
  </si>
  <si>
    <t>Total DEPT - ACC &amp; FIN - PAYROLL</t>
  </si>
  <si>
    <t>A&amp;G - Salaries &amp; Wages</t>
  </si>
  <si>
    <t>A&amp;G - BPJS KETENAGAKERJAAN</t>
  </si>
  <si>
    <t>A&amp;G - BPJS KESEHATAN</t>
  </si>
  <si>
    <t>A&amp;G - THR and Bonus</t>
  </si>
  <si>
    <t>A&amp;G - Daily Worker</t>
  </si>
  <si>
    <t>A&amp;G - Employee Meals</t>
  </si>
  <si>
    <t>A&amp;G - Employee Insurance</t>
  </si>
  <si>
    <t>Total DEPT - A&amp;G - PAYROLL</t>
  </si>
  <si>
    <t>DEPT - LEGAL - PAYROLL</t>
  </si>
  <si>
    <t>Legal - Salaries &amp; Wages</t>
  </si>
  <si>
    <t>Legal - BPJS KETENAGAKERJAAN</t>
  </si>
  <si>
    <t>Legal - BPJS KESEHATAN</t>
  </si>
  <si>
    <t>Legal - THR and Bonus</t>
  </si>
  <si>
    <t>Legal - Employee Meals</t>
  </si>
  <si>
    <t>Total DEPT - LEGAL - PAYROLL</t>
  </si>
  <si>
    <t>DEPT - INFORMATION &amp; TECHNOLOGY - PAYROLL</t>
  </si>
  <si>
    <t>IT - Salaries &amp; Wages</t>
  </si>
  <si>
    <t>IT - BPJS KETENAGAKERJAAN</t>
  </si>
  <si>
    <t>IT - BPJS KESEHATAN</t>
  </si>
  <si>
    <t>IT - THR and Bonus</t>
  </si>
  <si>
    <t>IT - Employee Meals</t>
  </si>
  <si>
    <t>Total DEPT - INFORMATION &amp; TECHNOLOGY - PAYROLL</t>
  </si>
  <si>
    <t>DEPT - ENG, CAM AND POM - PAYROLL</t>
  </si>
  <si>
    <t>DEPT - ENG - PAYROLL</t>
  </si>
  <si>
    <t>ENG - Salaries &amp; Wages</t>
  </si>
  <si>
    <t>ENG - BPJS KETENAGAKERJAAN</t>
  </si>
  <si>
    <t>ENG - BPJS KESEHATAN</t>
  </si>
  <si>
    <t>ENG - THR and Bonus</t>
  </si>
  <si>
    <t>ENG - Daily Worker</t>
  </si>
  <si>
    <t>ENG - Employee Meals</t>
  </si>
  <si>
    <t>Total DEPT - ENG - PAYROLL</t>
  </si>
  <si>
    <t>DEPT - CAM - PAYROLL</t>
  </si>
  <si>
    <t>CAM - Daily Worker</t>
  </si>
  <si>
    <t>Total DEPT - CAM - PAYROLL</t>
  </si>
  <si>
    <t>DEPT - POM - PAYROLL</t>
  </si>
  <si>
    <t>POM - Salaries &amp; Wages</t>
  </si>
  <si>
    <t>POM - BPJS KETENAGAKERJAAN</t>
  </si>
  <si>
    <t>POM - BPJS KESEHATAN</t>
  </si>
  <si>
    <t>POM - THR and Bonus</t>
  </si>
  <si>
    <t>POM - Daily Worker</t>
  </si>
  <si>
    <t>POM - Employee Meals</t>
  </si>
  <si>
    <t>Total DEPT - POM - PAYROLL</t>
  </si>
  <si>
    <t>Total DEPT - ENG, CAM AND POM - PAYROLL</t>
  </si>
  <si>
    <t>DEPT - SALES &amp; MARKETING - PAYROLL</t>
  </si>
  <si>
    <t>S&amp;M - Salaries &amp; Wages</t>
  </si>
  <si>
    <t>S&amp;M - Income Tax Expense</t>
  </si>
  <si>
    <t>S&amp;M - BPJS KETENAGAKERJAAN</t>
  </si>
  <si>
    <t>S&amp;M - BPJS KESEHATAN</t>
  </si>
  <si>
    <t>S&amp;M - THR and Bonus</t>
  </si>
  <si>
    <t>S&amp;M - Employee Meals</t>
  </si>
  <si>
    <t>Total DEPT - SALES &amp; MARKETING - PAYROLL</t>
  </si>
  <si>
    <t>DEPT - HR &amp; GA - PAYROLL</t>
  </si>
  <si>
    <t>DEPT - HR - PAYROLL</t>
  </si>
  <si>
    <t>HR - Salaries &amp; Wages</t>
  </si>
  <si>
    <t>HR - BPJS KETENAGAKERJAAN</t>
  </si>
  <si>
    <t>HR - BPJS KESEHATAN</t>
  </si>
  <si>
    <t>HR - THR and Bonus</t>
  </si>
  <si>
    <t>HR - Employee Meals</t>
  </si>
  <si>
    <t>Total DEPT - HR - PAYROLL</t>
  </si>
  <si>
    <t>DEPT - SECURITY - PAYROLL</t>
  </si>
  <si>
    <t>Security - Salaries &amp; Wages</t>
  </si>
  <si>
    <t>Security - BPJS KETENAGAKERJAAN</t>
  </si>
  <si>
    <t>Security - BPJS KESEHATAN</t>
  </si>
  <si>
    <t>Security - THR and Bonus</t>
  </si>
  <si>
    <t>Security - Daily Worker</t>
  </si>
  <si>
    <t>Security - Employee Meals</t>
  </si>
  <si>
    <t>Total DEPT - SECURITY - PAYROLL</t>
  </si>
  <si>
    <t>Total DEPT - HR &amp; GA - PAYROLL</t>
  </si>
  <si>
    <t>Total PAYROLL - NON OPERATING DEPT</t>
  </si>
  <si>
    <t>Total PAYROLL</t>
  </si>
  <si>
    <t>GROSS OPERATING PROFIT (LOSS)</t>
  </si>
  <si>
    <t>OTHER INCOME AND EXPENSES</t>
  </si>
  <si>
    <t>Miscellaneous Income</t>
  </si>
  <si>
    <t>Unrealised Exchange Gain/(Loss)</t>
  </si>
  <si>
    <t>Gain/Loss on Forex</t>
  </si>
  <si>
    <t>Realised Exchange gain/(Loss)</t>
  </si>
  <si>
    <t>Tax Expense</t>
  </si>
  <si>
    <t>FF&amp;E Reserve</t>
  </si>
  <si>
    <t>Corporate Service</t>
  </si>
  <si>
    <t>Management Fees</t>
  </si>
  <si>
    <t>Professional Fees</t>
  </si>
  <si>
    <t>Employee Meals</t>
  </si>
  <si>
    <t>Rounding</t>
  </si>
  <si>
    <t>Total OTHER INCOME AND EXPENSES</t>
  </si>
  <si>
    <t>EBITDA</t>
  </si>
  <si>
    <t>FIXED CHARGES</t>
  </si>
  <si>
    <t>DEPRECIATION</t>
  </si>
  <si>
    <t>Depreciation Expense - Building and Villa</t>
  </si>
  <si>
    <t>Depreciation Expense - Furniture, Fixtures and Infrastructures</t>
  </si>
  <si>
    <t>Depreciation Expense - IT &amp; Electronic Equipments</t>
  </si>
  <si>
    <t>Depreciation Expense - Machineries</t>
  </si>
  <si>
    <t>Depreciation Expense - Vehicles</t>
  </si>
  <si>
    <t>Depreciation Expense - FAS - Fire &amp; Safety System</t>
  </si>
  <si>
    <t>Depreciation Expense - FAS - Communication/Telephone</t>
  </si>
  <si>
    <t>Depreciation Expense - FAS - Housekeeping Equipment</t>
  </si>
  <si>
    <t>Depreciation Expense - FAS - Kitchen Equipment</t>
  </si>
  <si>
    <t>Depreciation Expense - FAS - Hardware</t>
  </si>
  <si>
    <t>Depreciation Expense - FAS - Air Conditioning</t>
  </si>
  <si>
    <t>Depreciation Expense - FAS - Electrical Equipment</t>
  </si>
  <si>
    <t>Depreciation Expense - FAS - Guest Equipment</t>
  </si>
  <si>
    <t>Depreciation Expense - FAS - Wellness Centre Equipment</t>
  </si>
  <si>
    <t>Total DEPRECIATION</t>
  </si>
  <si>
    <t>Total FIXED CHARGES</t>
  </si>
  <si>
    <t>UNUSED ACCOUNT</t>
  </si>
  <si>
    <t>Sales &amp; Marketing Expenses</t>
  </si>
  <si>
    <t>SG&amp;A: Office - Rent (Equipment) (4)</t>
  </si>
  <si>
    <t>Total UNUSED ACCOUNT</t>
  </si>
  <si>
    <t>NETT INCOME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</si>
</sst>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(#,##0.00\)"/>
  </numFmts>
  <fonts count="10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2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9"/>
      <color theme="1"/>
      <name val="Arial"/>
      <family val="2"/>
    </font>
    <font>
      <b/>
      <sz val="9"/>
      <color theme="1"/>
      <name val="Arial"/>
    </font>
    <font>
      <b/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EBEBEB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21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/>
    <xf numFmtId="0" fontId="4" fillId="0" borderId="0" xfId="1" applyFont="1" applyAlignment="1">
      <alignment vertical="center"/>
    </xf>
    <xf numFmtId="0" fontId="4" fillId="0" borderId="0" xfId="1" applyFont="1"/>
    <xf numFmtId="0" fontId="1" fillId="0" borderId="0" xfId="1"/>
    <xf numFmtId="0" fontId="5" fillId="0" borderId="1" xfId="1" applyFont="1" applyBorder="1" applyAlignment="1">
      <alignment vertical="center"/>
    </xf>
    <xf numFmtId="0" fontId="5" fillId="0" borderId="1" xfId="1" applyFont="1" applyBorder="1" applyAlignment="1">
      <alignment horizontal="left" vertical="center"/>
    </xf>
    <xf numFmtId="0" fontId="5" fillId="0" borderId="1" xfId="1" applyFont="1" applyBorder="1" applyAlignment="1">
      <alignment horizontal="right" vertical="center"/>
    </xf>
    <xf numFmtId="0" fontId="6" fillId="0" borderId="0" xfId="1" applyFont="1"/>
    <xf numFmtId="0" fontId="1" fillId="0" borderId="1" xfId="1" applyBorder="1" applyAlignment="1">
      <alignment vertical="center"/>
    </xf>
    <xf numFmtId="0" fontId="7" fillId="0" borderId="0" xfId="1" applyFont="1" applyAlignment="1">
      <alignment vertical="center"/>
    </xf>
    <xf numFmtId="0" fontId="1" fillId="0" borderId="2" xfId="1" applyBorder="1" applyAlignment="1">
      <alignment vertical="center"/>
    </xf>
    <xf numFmtId="0" fontId="7" fillId="0" borderId="2" xfId="1" applyFont="1" applyBorder="1" applyAlignment="1">
      <alignment vertical="center"/>
    </xf>
    <xf numFmtId="0" fontId="7" fillId="2" borderId="3" xfId="1" applyFont="1" applyFill="1" applyBorder="1" applyAlignment="1">
      <alignment vertical="center"/>
    </xf>
    <xf numFmtId="0" fontId="1" fillId="0" borderId="0" xfId="1" applyAlignment="1">
      <alignment vertical="center"/>
    </xf>
    <xf numFmtId="164" fontId="0" fillId="0" borderId="2" xfId="0" applyNumberFormat="1" applyBorder="1" applyAlignment="1">
      <alignment horizontal="right" vertical="center"/>
    </xf>
    <xf numFmtId="164" fontId="8" fillId="0" borderId="2" xfId="0" applyNumberFormat="1" applyFont="1" applyBorder="1" applyAlignment="1">
      <alignment horizontal="right" vertical="center"/>
    </xf>
    <xf numFmtId="0" fontId="8" fillId="0" borderId="0" xfId="0" applyFont="1" applyAlignment="1">
      <alignment vertical="center"/>
    </xf>
    <xf numFmtId="0" fontId="9" fillId="0" borderId="1" xfId="0" applyFont="1" applyBorder="1" applyAlignment="1">
      <alignment vertical="center"/>
    </xf>
    <xf numFmtId="164" fontId="8" fillId="2" borderId="3" xfId="0" applyNumberFormat="1" applyFont="1" applyFill="1" applyBorder="1" applyAlignment="1">
      <alignment horizontal="right" vertical="center"/>
    </xf>
  </cellXfs>
  <cellStyles count="2">
    <cellStyle name="Normal" xfId="0" builtinId="0"/>
    <cellStyle name="Normal 2" xfId="1" xr:uid="{96DFE44F-28B1-4F3E-A5C5-557AE9CEBC5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1E021-5EEA-4B46-A1F6-05049D37EBAD}">
  <dimension ref="A1:S435"/>
  <sheetViews>
    <sheetView showGridLines="0" tabSelected="1" zoomScale="90" zoomScaleNormal="90" workbookViewId="0">
      <selection activeCell="F1" sqref="F1"/>
    </sheetView>
  </sheetViews>
  <sheetFormatPr defaultRowHeight="12" x14ac:dyDescent="0.2"/>
  <cols>
    <col min="1" max="5" width="1.42578125" style="5" customWidth="1"/>
    <col min="6" max="6" width="56.140625" style="5" customWidth="1"/>
    <col min="7" max="7" width="16.42578125" style="5" customWidth="1"/>
    <col min="8" max="8" width="16.7109375" style="5" customWidth="1"/>
    <col min="9" max="11" width="15" style="5" customWidth="1"/>
    <col min="12" max="15" width="16.7109375" style="5" customWidth="1"/>
    <col min="16" max="19" width="15" style="5" customWidth="1"/>
    <col min="20" max="16384" width="9.140625" style="5"/>
  </cols>
  <sheetData>
    <row r="1" spans="1:19" s="2" customFormat="1" ht="16.7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s="4" customFormat="1" ht="14.45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s="4" customFormat="1" ht="14.45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19" ht="13.35" customHeight="1" x14ac:dyDescent="0.2"/>
    <row r="5" spans="1:19" s="9" customFormat="1" ht="12.2" customHeight="1" x14ac:dyDescent="0.2">
      <c r="A5" s="6"/>
      <c r="B5" s="6"/>
      <c r="C5" s="6"/>
      <c r="D5" s="6"/>
      <c r="E5" s="6"/>
      <c r="F5" s="7" t="s">
        <v>0</v>
      </c>
      <c r="G5" s="8" t="s">
        <v>1</v>
      </c>
      <c r="H5" s="8" t="s">
        <v>2</v>
      </c>
      <c r="I5" s="8" t="s">
        <v>3</v>
      </c>
      <c r="J5" s="8" t="s">
        <v>4</v>
      </c>
      <c r="K5" s="8" t="s">
        <v>5</v>
      </c>
      <c r="L5" s="8" t="s">
        <v>6</v>
      </c>
      <c r="M5" s="8" t="s">
        <v>7</v>
      </c>
      <c r="N5" s="8" t="s">
        <v>8</v>
      </c>
      <c r="O5" s="8" t="s">
        <v>9</v>
      </c>
      <c r="P5" s="8" t="s">
        <v>10</v>
      </c>
      <c r="Q5" s="8" t="s">
        <v>11</v>
      </c>
      <c r="R5" s="8" t="s">
        <v>12</v>
      </c>
      <c r="S5" s="8" t="s">
        <v>13</v>
      </c>
    </row>
    <row r="6" spans="1:19" ht="13.35" customHeight="1" x14ac:dyDescent="0.2"/>
    <row r="7" spans="1:19" s="9" customFormat="1" ht="12.2" customHeight="1" x14ac:dyDescent="0.2">
      <c r="A7" s="6" t="s">
        <v>14</v>
      </c>
      <c r="B7" s="6"/>
      <c r="C7" s="6"/>
      <c r="D7" s="6"/>
      <c r="E7" s="6"/>
      <c r="F7" s="6"/>
      <c r="G7" s="10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  <row r="8" spans="1:19" ht="10.9" customHeight="1" x14ac:dyDescent="0.2">
      <c r="A8" s="11"/>
      <c r="B8" s="11" t="s">
        <v>15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</row>
    <row r="9" spans="1:19" ht="10.9" customHeight="1" x14ac:dyDescent="0.2">
      <c r="F9" s="12" t="s">
        <v>16</v>
      </c>
      <c r="G9" s="5">
        <v>666344564.25</v>
      </c>
      <c r="H9" s="5">
        <v>912877785.75</v>
      </c>
      <c r="I9" s="5">
        <v>619303672.5</v>
      </c>
      <c r="J9" s="5">
        <v>635404029</v>
      </c>
      <c r="K9" s="5">
        <v>493971002.25</v>
      </c>
      <c r="L9" s="5">
        <v>1170664153.5</v>
      </c>
      <c r="M9" s="5">
        <v>870094386</v>
      </c>
      <c r="N9" s="5">
        <v>1968418687.5</v>
      </c>
      <c r="O9" s="5">
        <v>1261406337</v>
      </c>
      <c r="P9" s="5">
        <v>668092818</v>
      </c>
      <c r="Q9" s="5">
        <v>585407492.25</v>
      </c>
      <c r="R9" s="5">
        <v>448894002.75</v>
      </c>
      <c r="S9" s="5">
        <v>296689054.5</v>
      </c>
    </row>
    <row r="10" spans="1:19" ht="10.9" customHeight="1" x14ac:dyDescent="0.2">
      <c r="B10" s="13" t="s">
        <v>17</v>
      </c>
      <c r="G10" s="17">
        <f t="shared" ref="G10:S10" si="0">G9</f>
        <v>666344564.25</v>
      </c>
      <c r="H10" s="17">
        <f t="shared" si="0"/>
        <v>912877785.75</v>
      </c>
      <c r="I10" s="17">
        <f t="shared" si="0"/>
        <v>619303672.5</v>
      </c>
      <c r="J10" s="17">
        <f t="shared" si="0"/>
        <v>635404029</v>
      </c>
      <c r="K10" s="17">
        <f t="shared" si="0"/>
        <v>493971002.25</v>
      </c>
      <c r="L10" s="17">
        <f t="shared" si="0"/>
        <v>1170664153.5</v>
      </c>
      <c r="M10" s="17">
        <f t="shared" si="0"/>
        <v>870094386</v>
      </c>
      <c r="N10" s="17">
        <f t="shared" si="0"/>
        <v>1968418687.5</v>
      </c>
      <c r="O10" s="17">
        <f t="shared" si="0"/>
        <v>1261406337</v>
      </c>
      <c r="P10" s="17">
        <f t="shared" si="0"/>
        <v>668092818</v>
      </c>
      <c r="Q10" s="17">
        <f t="shared" si="0"/>
        <v>585407492.25</v>
      </c>
      <c r="R10" s="17">
        <f t="shared" si="0"/>
        <v>448894002.75</v>
      </c>
      <c r="S10" s="17">
        <f t="shared" si="0"/>
        <v>296689054.5</v>
      </c>
    </row>
    <row r="11" spans="1:19" ht="10.9" customHeight="1" x14ac:dyDescent="0.2">
      <c r="A11" s="11"/>
      <c r="B11" s="11" t="s">
        <v>18</v>
      </c>
      <c r="C11" s="11"/>
      <c r="D11" s="11"/>
      <c r="E11" s="11"/>
      <c r="F11" s="11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 ht="10.9" customHeight="1" x14ac:dyDescent="0.2">
      <c r="F12" s="12" t="s">
        <v>19</v>
      </c>
      <c r="G12" s="5">
        <v>294644691</v>
      </c>
      <c r="H12" s="5">
        <v>425472792.75</v>
      </c>
      <c r="I12" s="5">
        <v>238525275</v>
      </c>
      <c r="J12" s="5">
        <v>527827461</v>
      </c>
      <c r="K12" s="5">
        <v>627320775</v>
      </c>
      <c r="L12" s="5">
        <v>807468750</v>
      </c>
      <c r="M12" s="5">
        <v>873495396</v>
      </c>
      <c r="N12" s="5">
        <v>1077702032.25</v>
      </c>
      <c r="O12" s="5">
        <v>748377581.25</v>
      </c>
      <c r="P12" s="5">
        <v>509151831</v>
      </c>
      <c r="Q12" s="5">
        <v>580331389.5</v>
      </c>
      <c r="R12" s="5">
        <v>476055374.25</v>
      </c>
      <c r="S12" s="5">
        <v>248997366.75</v>
      </c>
    </row>
    <row r="13" spans="1:19" ht="10.9" customHeight="1" x14ac:dyDescent="0.2">
      <c r="F13" s="12" t="s">
        <v>20</v>
      </c>
      <c r="G13" s="5">
        <v>0</v>
      </c>
      <c r="H13" s="5">
        <v>87637500</v>
      </c>
      <c r="I13" s="5">
        <v>18367500</v>
      </c>
      <c r="J13" s="5">
        <v>30894000</v>
      </c>
      <c r="K13" s="5">
        <v>61360270.5</v>
      </c>
      <c r="L13" s="5">
        <v>247587964.5</v>
      </c>
      <c r="M13" s="5">
        <v>83650875</v>
      </c>
      <c r="N13" s="5">
        <v>65445000</v>
      </c>
      <c r="O13" s="5">
        <v>79363335</v>
      </c>
      <c r="P13" s="5">
        <v>65347500</v>
      </c>
      <c r="Q13" s="5">
        <v>36815625</v>
      </c>
      <c r="R13" s="5">
        <v>35775000</v>
      </c>
      <c r="S13" s="5">
        <v>25492500</v>
      </c>
    </row>
    <row r="14" spans="1:19" ht="10.9" customHeight="1" x14ac:dyDescent="0.2">
      <c r="B14" s="13" t="s">
        <v>21</v>
      </c>
      <c r="G14" s="17">
        <f t="shared" ref="G14:S14" si="1">SUM(G12:G13)</f>
        <v>294644691</v>
      </c>
      <c r="H14" s="17">
        <f t="shared" si="1"/>
        <v>513110292.75</v>
      </c>
      <c r="I14" s="17">
        <f t="shared" si="1"/>
        <v>256892775</v>
      </c>
      <c r="J14" s="17">
        <f t="shared" si="1"/>
        <v>558721461</v>
      </c>
      <c r="K14" s="17">
        <f t="shared" si="1"/>
        <v>688681045.5</v>
      </c>
      <c r="L14" s="17">
        <f t="shared" si="1"/>
        <v>1055056714.5</v>
      </c>
      <c r="M14" s="17">
        <f t="shared" si="1"/>
        <v>957146271</v>
      </c>
      <c r="N14" s="17">
        <f t="shared" si="1"/>
        <v>1143147032.25</v>
      </c>
      <c r="O14" s="17">
        <f t="shared" si="1"/>
        <v>827740916.25</v>
      </c>
      <c r="P14" s="17">
        <f t="shared" si="1"/>
        <v>574499331</v>
      </c>
      <c r="Q14" s="17">
        <f t="shared" si="1"/>
        <v>617147014.5</v>
      </c>
      <c r="R14" s="17">
        <f t="shared" si="1"/>
        <v>511830374.25</v>
      </c>
      <c r="S14" s="17">
        <f t="shared" si="1"/>
        <v>274489866.75</v>
      </c>
    </row>
    <row r="15" spans="1:19" ht="10.9" customHeight="1" x14ac:dyDescent="0.2">
      <c r="A15" s="11"/>
      <c r="B15" s="11" t="s">
        <v>22</v>
      </c>
      <c r="C15" s="11"/>
      <c r="D15" s="11"/>
      <c r="E15" s="11"/>
      <c r="F15" s="11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</row>
    <row r="16" spans="1:19" ht="10.9" customHeight="1" x14ac:dyDescent="0.2">
      <c r="F16" s="12" t="s">
        <v>23</v>
      </c>
      <c r="G16" s="5">
        <v>78557700</v>
      </c>
      <c r="H16" s="5">
        <v>122382569.25</v>
      </c>
      <c r="I16" s="5">
        <v>71566575</v>
      </c>
      <c r="J16" s="5">
        <v>78245430</v>
      </c>
      <c r="K16" s="5">
        <v>115420515</v>
      </c>
      <c r="L16" s="5">
        <v>172542943.5</v>
      </c>
      <c r="M16" s="5">
        <v>173849562</v>
      </c>
      <c r="N16" s="5">
        <v>195824667.75</v>
      </c>
      <c r="O16" s="5">
        <v>174783217.5</v>
      </c>
      <c r="P16" s="5">
        <v>84781446</v>
      </c>
      <c r="Q16" s="5">
        <v>108253125</v>
      </c>
      <c r="R16" s="5">
        <v>113828865</v>
      </c>
      <c r="S16" s="5">
        <v>64017375</v>
      </c>
    </row>
    <row r="17" spans="1:19" ht="10.9" customHeight="1" x14ac:dyDescent="0.2">
      <c r="F17" s="12" t="s">
        <v>24</v>
      </c>
      <c r="G17" s="5">
        <v>0</v>
      </c>
      <c r="H17" s="5">
        <v>0</v>
      </c>
      <c r="I17" s="5">
        <v>0</v>
      </c>
      <c r="J17" s="5">
        <v>0</v>
      </c>
      <c r="K17" s="5">
        <v>2442146.25</v>
      </c>
      <c r="L17" s="5">
        <v>91800394.5</v>
      </c>
      <c r="M17" s="5">
        <v>1125000</v>
      </c>
      <c r="N17" s="5">
        <v>0</v>
      </c>
      <c r="O17" s="5">
        <v>6966939.75</v>
      </c>
      <c r="P17" s="5">
        <v>41310000</v>
      </c>
      <c r="Q17" s="5">
        <v>0</v>
      </c>
      <c r="R17" s="5">
        <v>0</v>
      </c>
      <c r="S17" s="5">
        <v>0</v>
      </c>
    </row>
    <row r="18" spans="1:19" ht="10.9" customHeight="1" x14ac:dyDescent="0.2">
      <c r="B18" s="13" t="s">
        <v>25</v>
      </c>
      <c r="G18" s="17">
        <f t="shared" ref="G18:S18" si="2">SUM(G16:G17)</f>
        <v>78557700</v>
      </c>
      <c r="H18" s="17">
        <f t="shared" si="2"/>
        <v>122382569.25</v>
      </c>
      <c r="I18" s="17">
        <f t="shared" si="2"/>
        <v>71566575</v>
      </c>
      <c r="J18" s="17">
        <f t="shared" si="2"/>
        <v>78245430</v>
      </c>
      <c r="K18" s="17">
        <f t="shared" si="2"/>
        <v>117862661.25</v>
      </c>
      <c r="L18" s="17">
        <f t="shared" si="2"/>
        <v>264343338</v>
      </c>
      <c r="M18" s="17">
        <f t="shared" si="2"/>
        <v>174974562</v>
      </c>
      <c r="N18" s="17">
        <f t="shared" si="2"/>
        <v>195824667.75</v>
      </c>
      <c r="O18" s="17">
        <f t="shared" si="2"/>
        <v>181750157.25</v>
      </c>
      <c r="P18" s="17">
        <f t="shared" si="2"/>
        <v>126091446</v>
      </c>
      <c r="Q18" s="17">
        <f t="shared" si="2"/>
        <v>108253125</v>
      </c>
      <c r="R18" s="17">
        <f t="shared" si="2"/>
        <v>113828865</v>
      </c>
      <c r="S18" s="17">
        <f t="shared" si="2"/>
        <v>64017375</v>
      </c>
    </row>
    <row r="19" spans="1:19" ht="10.9" customHeight="1" x14ac:dyDescent="0.2">
      <c r="A19" s="11"/>
      <c r="B19" s="11" t="s">
        <v>26</v>
      </c>
      <c r="C19" s="11"/>
      <c r="D19" s="11"/>
      <c r="E19" s="11"/>
      <c r="F19" s="11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</row>
    <row r="20" spans="1:19" ht="10.9" customHeight="1" x14ac:dyDescent="0.2">
      <c r="F20" s="12" t="s">
        <v>27</v>
      </c>
      <c r="G20" s="5">
        <v>22780725</v>
      </c>
      <c r="H20" s="5">
        <v>82629501.75</v>
      </c>
      <c r="I20" s="5">
        <v>17123583.75</v>
      </c>
      <c r="J20" s="5">
        <v>53626800.75</v>
      </c>
      <c r="K20" s="5">
        <v>61646358</v>
      </c>
      <c r="L20" s="5">
        <v>119421535.5</v>
      </c>
      <c r="M20" s="5">
        <v>108877687.5</v>
      </c>
      <c r="N20" s="5">
        <v>132212700</v>
      </c>
      <c r="O20" s="5">
        <v>175352931.75</v>
      </c>
      <c r="P20" s="5">
        <v>78064125</v>
      </c>
      <c r="Q20" s="5">
        <v>74714610.75</v>
      </c>
      <c r="R20" s="5">
        <v>72232404</v>
      </c>
      <c r="S20" s="5">
        <v>43523115</v>
      </c>
    </row>
    <row r="21" spans="1:19" ht="10.9" customHeight="1" x14ac:dyDescent="0.2">
      <c r="B21" s="13" t="s">
        <v>28</v>
      </c>
      <c r="G21" s="17">
        <f t="shared" ref="G21:S21" si="3">G20</f>
        <v>22780725</v>
      </c>
      <c r="H21" s="17">
        <f t="shared" si="3"/>
        <v>82629501.75</v>
      </c>
      <c r="I21" s="17">
        <f t="shared" si="3"/>
        <v>17123583.75</v>
      </c>
      <c r="J21" s="17">
        <f t="shared" si="3"/>
        <v>53626800.75</v>
      </c>
      <c r="K21" s="17">
        <f t="shared" si="3"/>
        <v>61646358</v>
      </c>
      <c r="L21" s="17">
        <f t="shared" si="3"/>
        <v>119421535.5</v>
      </c>
      <c r="M21" s="17">
        <f t="shared" si="3"/>
        <v>108877687.5</v>
      </c>
      <c r="N21" s="17">
        <f t="shared" si="3"/>
        <v>132212700</v>
      </c>
      <c r="O21" s="17">
        <f t="shared" si="3"/>
        <v>175352931.75</v>
      </c>
      <c r="P21" s="17">
        <f t="shared" si="3"/>
        <v>78064125</v>
      </c>
      <c r="Q21" s="17">
        <f t="shared" si="3"/>
        <v>74714610.75</v>
      </c>
      <c r="R21" s="17">
        <f t="shared" si="3"/>
        <v>72232404</v>
      </c>
      <c r="S21" s="17">
        <f t="shared" si="3"/>
        <v>43523115</v>
      </c>
    </row>
    <row r="22" spans="1:19" ht="10.9" customHeight="1" x14ac:dyDescent="0.2">
      <c r="A22" s="11"/>
      <c r="B22" s="11" t="s">
        <v>29</v>
      </c>
      <c r="C22" s="11"/>
      <c r="D22" s="11"/>
      <c r="E22" s="11"/>
      <c r="F22" s="11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</row>
    <row r="23" spans="1:19" ht="10.9" customHeight="1" x14ac:dyDescent="0.2">
      <c r="F23" s="12" t="s">
        <v>30</v>
      </c>
      <c r="G23" s="5">
        <v>4916250</v>
      </c>
      <c r="H23" s="5">
        <v>7438500</v>
      </c>
      <c r="I23" s="5">
        <v>5328750</v>
      </c>
      <c r="J23" s="5">
        <v>5988150</v>
      </c>
      <c r="K23" s="5">
        <v>4998000</v>
      </c>
      <c r="L23" s="5">
        <v>13283175</v>
      </c>
      <c r="M23" s="5">
        <v>12340800</v>
      </c>
      <c r="N23" s="5">
        <v>16200000</v>
      </c>
      <c r="O23" s="5">
        <v>17625600</v>
      </c>
      <c r="P23" s="5">
        <v>8034150</v>
      </c>
      <c r="Q23" s="5">
        <v>9325500</v>
      </c>
      <c r="R23" s="5">
        <v>3368775</v>
      </c>
      <c r="S23" s="5">
        <v>3680700</v>
      </c>
    </row>
    <row r="24" spans="1:19" ht="10.9" customHeight="1" x14ac:dyDescent="0.2">
      <c r="B24" s="13" t="s">
        <v>31</v>
      </c>
      <c r="G24" s="17">
        <f t="shared" ref="G24:S24" si="4">G23</f>
        <v>4916250</v>
      </c>
      <c r="H24" s="17">
        <f t="shared" si="4"/>
        <v>7438500</v>
      </c>
      <c r="I24" s="17">
        <f t="shared" si="4"/>
        <v>5328750</v>
      </c>
      <c r="J24" s="17">
        <f t="shared" si="4"/>
        <v>5988150</v>
      </c>
      <c r="K24" s="17">
        <f t="shared" si="4"/>
        <v>4998000</v>
      </c>
      <c r="L24" s="17">
        <f t="shared" si="4"/>
        <v>13283175</v>
      </c>
      <c r="M24" s="17">
        <f t="shared" si="4"/>
        <v>12340800</v>
      </c>
      <c r="N24" s="17">
        <f t="shared" si="4"/>
        <v>16200000</v>
      </c>
      <c r="O24" s="17">
        <f t="shared" si="4"/>
        <v>17625600</v>
      </c>
      <c r="P24" s="17">
        <f t="shared" si="4"/>
        <v>8034150</v>
      </c>
      <c r="Q24" s="17">
        <f t="shared" si="4"/>
        <v>9325500</v>
      </c>
      <c r="R24" s="17">
        <f t="shared" si="4"/>
        <v>3368775</v>
      </c>
      <c r="S24" s="17">
        <f t="shared" si="4"/>
        <v>3680700</v>
      </c>
    </row>
    <row r="25" spans="1:19" ht="10.9" customHeight="1" x14ac:dyDescent="0.2">
      <c r="A25" s="11"/>
      <c r="B25" s="11" t="s">
        <v>32</v>
      </c>
      <c r="C25" s="11"/>
      <c r="D25" s="11"/>
      <c r="E25" s="11"/>
      <c r="F25" s="11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</row>
    <row r="26" spans="1:19" ht="10.9" customHeight="1" x14ac:dyDescent="0.2">
      <c r="F26" s="12" t="s">
        <v>33</v>
      </c>
      <c r="G26" s="5">
        <v>30308250</v>
      </c>
      <c r="H26" s="5">
        <v>42934500</v>
      </c>
      <c r="I26" s="5">
        <v>39837375</v>
      </c>
      <c r="J26" s="5">
        <v>42362860.5</v>
      </c>
      <c r="K26" s="5">
        <v>60470623.5</v>
      </c>
      <c r="L26" s="5">
        <v>75744600</v>
      </c>
      <c r="M26" s="5">
        <v>96954390</v>
      </c>
      <c r="N26" s="5">
        <v>104679750</v>
      </c>
      <c r="O26" s="5">
        <v>110798549.25</v>
      </c>
      <c r="P26" s="5">
        <v>42352500</v>
      </c>
      <c r="Q26" s="5">
        <v>32141250</v>
      </c>
      <c r="R26" s="5">
        <v>40004416.5</v>
      </c>
      <c r="S26" s="5">
        <v>29431125</v>
      </c>
    </row>
    <row r="27" spans="1:19" ht="10.9" customHeight="1" x14ac:dyDescent="0.2">
      <c r="B27" s="13" t="s">
        <v>34</v>
      </c>
      <c r="G27" s="17">
        <f t="shared" ref="G27:S27" si="5">G26</f>
        <v>30308250</v>
      </c>
      <c r="H27" s="17">
        <f t="shared" si="5"/>
        <v>42934500</v>
      </c>
      <c r="I27" s="17">
        <f t="shared" si="5"/>
        <v>39837375</v>
      </c>
      <c r="J27" s="17">
        <f t="shared" si="5"/>
        <v>42362860.5</v>
      </c>
      <c r="K27" s="17">
        <f t="shared" si="5"/>
        <v>60470623.5</v>
      </c>
      <c r="L27" s="17">
        <f t="shared" si="5"/>
        <v>75744600</v>
      </c>
      <c r="M27" s="17">
        <f t="shared" si="5"/>
        <v>96954390</v>
      </c>
      <c r="N27" s="17">
        <f t="shared" si="5"/>
        <v>104679750</v>
      </c>
      <c r="O27" s="17">
        <f t="shared" si="5"/>
        <v>110798549.25</v>
      </c>
      <c r="P27" s="17">
        <f t="shared" si="5"/>
        <v>42352500</v>
      </c>
      <c r="Q27" s="17">
        <f t="shared" si="5"/>
        <v>32141250</v>
      </c>
      <c r="R27" s="17">
        <f t="shared" si="5"/>
        <v>40004416.5</v>
      </c>
      <c r="S27" s="17">
        <f t="shared" si="5"/>
        <v>29431125</v>
      </c>
    </row>
    <row r="28" spans="1:19" ht="10.9" customHeight="1" x14ac:dyDescent="0.2">
      <c r="A28" s="11"/>
      <c r="B28" s="11" t="s">
        <v>35</v>
      </c>
      <c r="C28" s="11"/>
      <c r="D28" s="11"/>
      <c r="E28" s="11"/>
      <c r="F28" s="11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</row>
    <row r="29" spans="1:19" ht="10.9" customHeight="1" x14ac:dyDescent="0.2">
      <c r="F29" s="12" t="s">
        <v>36</v>
      </c>
      <c r="G29" s="5">
        <v>3171136.5</v>
      </c>
      <c r="H29" s="5">
        <v>562500</v>
      </c>
      <c r="I29" s="5">
        <v>2117081.25</v>
      </c>
      <c r="J29" s="5">
        <v>345746.25</v>
      </c>
      <c r="K29" s="5">
        <v>7361895.75</v>
      </c>
      <c r="L29" s="5">
        <v>17015427.75</v>
      </c>
      <c r="M29" s="5">
        <v>3838050</v>
      </c>
      <c r="N29" s="5">
        <v>25501122.75</v>
      </c>
      <c r="O29" s="5">
        <v>17666842.5</v>
      </c>
      <c r="P29" s="5">
        <v>5006400</v>
      </c>
      <c r="Q29" s="5">
        <v>5362500</v>
      </c>
      <c r="R29" s="5">
        <v>4622373</v>
      </c>
      <c r="S29" s="5">
        <v>6236115</v>
      </c>
    </row>
    <row r="30" spans="1:19" ht="10.9" customHeight="1" x14ac:dyDescent="0.2">
      <c r="F30" s="12" t="s">
        <v>37</v>
      </c>
      <c r="G30" s="5">
        <v>562500</v>
      </c>
      <c r="H30" s="5">
        <v>0</v>
      </c>
      <c r="I30" s="5">
        <v>675000</v>
      </c>
      <c r="J30" s="5">
        <v>1612500</v>
      </c>
      <c r="K30" s="5">
        <v>185950.5</v>
      </c>
      <c r="L30" s="5">
        <v>2625000</v>
      </c>
      <c r="M30" s="5">
        <v>92975.25</v>
      </c>
      <c r="N30" s="5">
        <v>2100000</v>
      </c>
      <c r="O30" s="5">
        <v>4837809</v>
      </c>
      <c r="P30" s="5">
        <v>620250</v>
      </c>
      <c r="Q30" s="5">
        <v>298500</v>
      </c>
      <c r="R30" s="5">
        <v>16109437.5</v>
      </c>
      <c r="S30" s="5">
        <v>10951500</v>
      </c>
    </row>
    <row r="31" spans="1:19" ht="10.9" customHeight="1" x14ac:dyDescent="0.2">
      <c r="F31" s="12" t="s">
        <v>38</v>
      </c>
      <c r="G31" s="5">
        <v>57750</v>
      </c>
      <c r="H31" s="5">
        <v>568404</v>
      </c>
      <c r="I31" s="5">
        <v>173040</v>
      </c>
      <c r="J31" s="5">
        <v>1253707.5</v>
      </c>
      <c r="K31" s="5">
        <v>4327440</v>
      </c>
      <c r="L31" s="5">
        <v>848400</v>
      </c>
      <c r="M31" s="5">
        <v>1003800</v>
      </c>
      <c r="N31" s="5">
        <v>2335897.5</v>
      </c>
      <c r="O31" s="5">
        <v>1927950</v>
      </c>
      <c r="P31" s="5">
        <v>1474200</v>
      </c>
      <c r="Q31" s="5">
        <v>1121400</v>
      </c>
      <c r="R31" s="5">
        <v>294840</v>
      </c>
      <c r="S31" s="5">
        <v>0</v>
      </c>
    </row>
    <row r="32" spans="1:19" ht="10.9" customHeight="1" x14ac:dyDescent="0.2">
      <c r="F32" s="12" t="s">
        <v>39</v>
      </c>
      <c r="G32" s="5">
        <v>649030555.04999995</v>
      </c>
      <c r="H32" s="5">
        <v>649030555.04999995</v>
      </c>
      <c r="I32" s="5">
        <v>649030555.04999995</v>
      </c>
      <c r="J32" s="5">
        <v>571175000.25</v>
      </c>
      <c r="K32" s="5">
        <v>571175000.25</v>
      </c>
      <c r="L32" s="5">
        <v>571175000.25</v>
      </c>
      <c r="M32" s="5">
        <v>571175000.25</v>
      </c>
      <c r="N32" s="5">
        <v>571175000.25</v>
      </c>
      <c r="O32" s="5">
        <v>571175000.25</v>
      </c>
      <c r="P32" s="5">
        <v>571175000.25</v>
      </c>
      <c r="Q32" s="5">
        <v>571175000.25</v>
      </c>
      <c r="R32" s="5">
        <v>571175000.25</v>
      </c>
      <c r="S32" s="5">
        <v>571175000.25</v>
      </c>
    </row>
    <row r="33" spans="1:19" ht="10.9" customHeight="1" x14ac:dyDescent="0.2">
      <c r="F33" s="12" t="s">
        <v>40</v>
      </c>
      <c r="G33" s="5">
        <v>0</v>
      </c>
      <c r="H33" s="5">
        <v>0</v>
      </c>
      <c r="I33" s="5">
        <v>0</v>
      </c>
      <c r="J33" s="5">
        <v>198571953</v>
      </c>
      <c r="K33" s="5">
        <v>198571953</v>
      </c>
      <c r="L33" s="5">
        <v>198571953</v>
      </c>
      <c r="M33" s="5">
        <v>198571953</v>
      </c>
      <c r="N33" s="5">
        <v>198571953</v>
      </c>
      <c r="O33" s="5">
        <v>198571953</v>
      </c>
      <c r="P33" s="5">
        <v>198571953</v>
      </c>
      <c r="Q33" s="5">
        <v>198571953</v>
      </c>
      <c r="R33" s="5">
        <v>198571953</v>
      </c>
      <c r="S33" s="5">
        <v>198571953</v>
      </c>
    </row>
    <row r="34" spans="1:19" ht="10.9" customHeight="1" x14ac:dyDescent="0.2">
      <c r="B34" s="13" t="s">
        <v>41</v>
      </c>
      <c r="G34" s="17">
        <f t="shared" ref="G34:S34" si="6">SUM(G29:G33)</f>
        <v>652821941.54999995</v>
      </c>
      <c r="H34" s="17">
        <f t="shared" si="6"/>
        <v>650161459.04999995</v>
      </c>
      <c r="I34" s="17">
        <f t="shared" si="6"/>
        <v>651995676.29999995</v>
      </c>
      <c r="J34" s="17">
        <f t="shared" si="6"/>
        <v>772958907</v>
      </c>
      <c r="K34" s="17">
        <f t="shared" si="6"/>
        <v>781622239.5</v>
      </c>
      <c r="L34" s="17">
        <f t="shared" si="6"/>
        <v>790235781</v>
      </c>
      <c r="M34" s="17">
        <f t="shared" si="6"/>
        <v>774681778.5</v>
      </c>
      <c r="N34" s="17">
        <f t="shared" si="6"/>
        <v>799683973.5</v>
      </c>
      <c r="O34" s="17">
        <f t="shared" si="6"/>
        <v>794179554.75</v>
      </c>
      <c r="P34" s="17">
        <f t="shared" si="6"/>
        <v>776847803.25</v>
      </c>
      <c r="Q34" s="17">
        <f t="shared" si="6"/>
        <v>776529353.25</v>
      </c>
      <c r="R34" s="17">
        <f t="shared" si="6"/>
        <v>790773603.75</v>
      </c>
      <c r="S34" s="17">
        <f t="shared" si="6"/>
        <v>786934568.25</v>
      </c>
    </row>
    <row r="35" spans="1:19" ht="10.9" customHeight="1" x14ac:dyDescent="0.2">
      <c r="A35" s="13" t="s">
        <v>42</v>
      </c>
      <c r="G35" s="17">
        <f t="shared" ref="G35:S35" si="7">(0 + ((((((G10 + G14) + G18) + G21) + G24) + G27) + G34))</f>
        <v>1750374121.8</v>
      </c>
      <c r="H35" s="17">
        <f t="shared" si="7"/>
        <v>2331534608.5500002</v>
      </c>
      <c r="I35" s="17">
        <f t="shared" si="7"/>
        <v>1662048407.55</v>
      </c>
      <c r="J35" s="17">
        <f t="shared" si="7"/>
        <v>2147307638.25</v>
      </c>
      <c r="K35" s="17">
        <f t="shared" si="7"/>
        <v>2209251930</v>
      </c>
      <c r="L35" s="17">
        <f t="shared" si="7"/>
        <v>3488749297.5</v>
      </c>
      <c r="M35" s="17">
        <f t="shared" si="7"/>
        <v>2995069875</v>
      </c>
      <c r="N35" s="17">
        <f t="shared" si="7"/>
        <v>4360166811</v>
      </c>
      <c r="O35" s="17">
        <f t="shared" si="7"/>
        <v>3368854046.25</v>
      </c>
      <c r="P35" s="17">
        <f t="shared" si="7"/>
        <v>2273982173.25</v>
      </c>
      <c r="Q35" s="17">
        <f t="shared" si="7"/>
        <v>2203518345.75</v>
      </c>
      <c r="R35" s="17">
        <f t="shared" si="7"/>
        <v>1980932441.25</v>
      </c>
      <c r="S35" s="17">
        <f t="shared" si="7"/>
        <v>1498765804.5</v>
      </c>
    </row>
    <row r="36" spans="1:19" ht="13.35" customHeight="1" x14ac:dyDescent="0.25">
      <c r="G36"/>
      <c r="H36"/>
      <c r="I36"/>
      <c r="J36"/>
      <c r="K36"/>
      <c r="L36"/>
      <c r="M36"/>
      <c r="N36"/>
      <c r="O36"/>
      <c r="P36"/>
      <c r="Q36"/>
      <c r="R36"/>
      <c r="S36"/>
    </row>
    <row r="37" spans="1:19" s="9" customFormat="1" ht="12.2" customHeight="1" x14ac:dyDescent="0.2">
      <c r="A37" s="6" t="s">
        <v>43</v>
      </c>
      <c r="B37" s="6"/>
      <c r="C37" s="6"/>
      <c r="D37" s="6"/>
      <c r="E37" s="6"/>
      <c r="F37" s="6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</row>
    <row r="38" spans="1:19" ht="10.9" customHeight="1" x14ac:dyDescent="0.2">
      <c r="A38" s="11"/>
      <c r="B38" s="11" t="s">
        <v>44</v>
      </c>
      <c r="C38" s="11"/>
      <c r="D38" s="11"/>
      <c r="E38" s="11"/>
      <c r="F38" s="11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</row>
    <row r="39" spans="1:19" ht="10.9" customHeight="1" x14ac:dyDescent="0.2">
      <c r="F39" s="12" t="s">
        <v>45</v>
      </c>
      <c r="G39" s="5">
        <v>111817564.7175</v>
      </c>
      <c r="H39" s="5">
        <v>176998461.12</v>
      </c>
      <c r="I39" s="5">
        <v>118907449.19999999</v>
      </c>
      <c r="J39" s="5">
        <v>181556648.4675</v>
      </c>
      <c r="K39" s="5">
        <v>226674429.75</v>
      </c>
      <c r="L39" s="5">
        <v>297104717.57999998</v>
      </c>
      <c r="M39" s="5">
        <v>275609248.76999998</v>
      </c>
      <c r="N39" s="5">
        <v>356926688.95499998</v>
      </c>
      <c r="O39" s="5">
        <v>275810747.95499998</v>
      </c>
      <c r="P39" s="5">
        <v>170111629.36500001</v>
      </c>
      <c r="Q39" s="5">
        <v>216198482.78249997</v>
      </c>
      <c r="R39" s="5">
        <v>148880531.02499998</v>
      </c>
      <c r="S39" s="5">
        <v>70871672.025000006</v>
      </c>
    </row>
    <row r="40" spans="1:19" ht="10.9" customHeight="1" x14ac:dyDescent="0.2">
      <c r="F40" s="12" t="s">
        <v>46</v>
      </c>
      <c r="G40" s="5">
        <v>0</v>
      </c>
      <c r="H40" s="5">
        <v>31762500</v>
      </c>
      <c r="I40" s="5">
        <v>0</v>
      </c>
      <c r="J40" s="5">
        <v>0</v>
      </c>
      <c r="K40" s="5">
        <v>0</v>
      </c>
      <c r="L40" s="5">
        <v>6078112.4999999991</v>
      </c>
      <c r="M40" s="5">
        <v>562500</v>
      </c>
      <c r="N40" s="5">
        <v>0</v>
      </c>
      <c r="O40" s="5">
        <v>530400</v>
      </c>
      <c r="P40" s="5">
        <v>1425195</v>
      </c>
      <c r="Q40" s="5">
        <v>5685000</v>
      </c>
      <c r="R40" s="5">
        <v>561150</v>
      </c>
      <c r="S40" s="5">
        <v>0</v>
      </c>
    </row>
    <row r="41" spans="1:19" ht="10.9" customHeight="1" x14ac:dyDescent="0.2">
      <c r="B41" s="13" t="s">
        <v>47</v>
      </c>
      <c r="G41" s="17">
        <f t="shared" ref="G41:S41" si="8">SUM(G39:G40)</f>
        <v>111817564.7175</v>
      </c>
      <c r="H41" s="17">
        <f t="shared" si="8"/>
        <v>208760961.12</v>
      </c>
      <c r="I41" s="17">
        <f t="shared" si="8"/>
        <v>118907449.19999999</v>
      </c>
      <c r="J41" s="17">
        <f t="shared" si="8"/>
        <v>181556648.4675</v>
      </c>
      <c r="K41" s="17">
        <f t="shared" si="8"/>
        <v>226674429.75</v>
      </c>
      <c r="L41" s="17">
        <f t="shared" si="8"/>
        <v>303182830.07999998</v>
      </c>
      <c r="M41" s="17">
        <f t="shared" si="8"/>
        <v>276171748.76999998</v>
      </c>
      <c r="N41" s="17">
        <f t="shared" si="8"/>
        <v>356926688.95499998</v>
      </c>
      <c r="O41" s="17">
        <f t="shared" si="8"/>
        <v>276341147.95499998</v>
      </c>
      <c r="P41" s="17">
        <f t="shared" si="8"/>
        <v>171536824.36500001</v>
      </c>
      <c r="Q41" s="17">
        <f t="shared" si="8"/>
        <v>221883482.78249997</v>
      </c>
      <c r="R41" s="17">
        <f t="shared" si="8"/>
        <v>149441681.02499998</v>
      </c>
      <c r="S41" s="17">
        <f t="shared" si="8"/>
        <v>70871672.025000006</v>
      </c>
    </row>
    <row r="42" spans="1:19" ht="10.9" customHeight="1" x14ac:dyDescent="0.2">
      <c r="A42" s="11"/>
      <c r="B42" s="11" t="s">
        <v>48</v>
      </c>
      <c r="C42" s="11"/>
      <c r="D42" s="11"/>
      <c r="E42" s="11"/>
      <c r="F42" s="11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</row>
    <row r="43" spans="1:19" ht="10.9" customHeight="1" x14ac:dyDescent="0.2">
      <c r="F43" s="12" t="s">
        <v>49</v>
      </c>
      <c r="G43" s="5">
        <v>20382707.182500001</v>
      </c>
      <c r="H43" s="5">
        <v>30199240.829999998</v>
      </c>
      <c r="I43" s="5">
        <v>21478320.765000001</v>
      </c>
      <c r="J43" s="5">
        <v>23897469.149999999</v>
      </c>
      <c r="K43" s="5">
        <v>30863606.609999999</v>
      </c>
      <c r="L43" s="5">
        <v>58416161.579999998</v>
      </c>
      <c r="M43" s="5">
        <v>42366977.204999998</v>
      </c>
      <c r="N43" s="5">
        <v>59206298.715000004</v>
      </c>
      <c r="O43" s="5">
        <v>52396454.775000006</v>
      </c>
      <c r="P43" s="5">
        <v>32530569.75</v>
      </c>
      <c r="Q43" s="5">
        <v>28392713.369999997</v>
      </c>
      <c r="R43" s="5">
        <v>32253894.6675</v>
      </c>
      <c r="S43" s="5">
        <v>13725395.9175</v>
      </c>
    </row>
    <row r="44" spans="1:19" ht="10.9" customHeight="1" x14ac:dyDescent="0.2">
      <c r="F44" s="12" t="s">
        <v>50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3324000</v>
      </c>
      <c r="P44" s="5">
        <v>0</v>
      </c>
      <c r="Q44" s="5">
        <v>0</v>
      </c>
      <c r="R44" s="5">
        <v>0</v>
      </c>
      <c r="S44" s="5">
        <v>0</v>
      </c>
    </row>
    <row r="45" spans="1:19" ht="10.9" customHeight="1" x14ac:dyDescent="0.2">
      <c r="B45" s="13" t="s">
        <v>51</v>
      </c>
      <c r="G45" s="17">
        <f t="shared" ref="G45:S45" si="9">SUM(G43:G44)</f>
        <v>20382707.182500001</v>
      </c>
      <c r="H45" s="17">
        <f t="shared" si="9"/>
        <v>30199240.829999998</v>
      </c>
      <c r="I45" s="17">
        <f t="shared" si="9"/>
        <v>21478320.765000001</v>
      </c>
      <c r="J45" s="17">
        <f t="shared" si="9"/>
        <v>23897469.149999999</v>
      </c>
      <c r="K45" s="17">
        <f t="shared" si="9"/>
        <v>30863606.609999999</v>
      </c>
      <c r="L45" s="17">
        <f t="shared" si="9"/>
        <v>58416161.579999998</v>
      </c>
      <c r="M45" s="17">
        <f t="shared" si="9"/>
        <v>42366977.204999998</v>
      </c>
      <c r="N45" s="17">
        <f t="shared" si="9"/>
        <v>59206298.715000004</v>
      </c>
      <c r="O45" s="17">
        <f t="shared" si="9"/>
        <v>55720454.775000006</v>
      </c>
      <c r="P45" s="17">
        <f t="shared" si="9"/>
        <v>32530569.75</v>
      </c>
      <c r="Q45" s="17">
        <f t="shared" si="9"/>
        <v>28392713.369999997</v>
      </c>
      <c r="R45" s="17">
        <f t="shared" si="9"/>
        <v>32253894.6675</v>
      </c>
      <c r="S45" s="17">
        <f t="shared" si="9"/>
        <v>13725395.9175</v>
      </c>
    </row>
    <row r="46" spans="1:19" ht="10.9" customHeight="1" x14ac:dyDescent="0.2">
      <c r="A46" s="11"/>
      <c r="B46" s="11" t="s">
        <v>52</v>
      </c>
      <c r="C46" s="11"/>
      <c r="D46" s="11"/>
      <c r="E46" s="11"/>
      <c r="F46" s="11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</row>
    <row r="47" spans="1:19" ht="10.9" customHeight="1" x14ac:dyDescent="0.2">
      <c r="A47" s="11"/>
      <c r="B47" s="11"/>
      <c r="C47" s="11" t="s">
        <v>53</v>
      </c>
      <c r="D47" s="11"/>
      <c r="E47" s="11"/>
      <c r="F47" s="11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</row>
    <row r="48" spans="1:19" ht="10.9" customHeight="1" x14ac:dyDescent="0.2">
      <c r="F48" s="12" t="s">
        <v>54</v>
      </c>
      <c r="G48" s="5">
        <v>895038.13500000001</v>
      </c>
      <c r="H48" s="5">
        <v>1229995.2825</v>
      </c>
      <c r="I48" s="5">
        <v>1708999.7175</v>
      </c>
      <c r="J48" s="5">
        <v>1392162</v>
      </c>
      <c r="K48" s="5">
        <v>1505310.165</v>
      </c>
      <c r="L48" s="5">
        <v>1541642.97</v>
      </c>
      <c r="M48" s="5">
        <v>2277434.19</v>
      </c>
      <c r="N48" s="5">
        <v>3646512.5250000004</v>
      </c>
      <c r="O48" s="5">
        <v>3741882.1500000004</v>
      </c>
      <c r="P48" s="5">
        <v>2824762.5674999999</v>
      </c>
      <c r="Q48" s="5">
        <v>1822525.6350000002</v>
      </c>
      <c r="R48" s="5">
        <v>2188749.54</v>
      </c>
      <c r="S48" s="5">
        <v>1450613.85</v>
      </c>
    </row>
    <row r="49" spans="1:19" ht="10.9" customHeight="1" x14ac:dyDescent="0.2">
      <c r="C49" s="13" t="s">
        <v>55</v>
      </c>
      <c r="G49" s="17">
        <f t="shared" ref="G49:S49" si="10">G48</f>
        <v>895038.13500000001</v>
      </c>
      <c r="H49" s="17">
        <f t="shared" si="10"/>
        <v>1229995.2825</v>
      </c>
      <c r="I49" s="17">
        <f t="shared" si="10"/>
        <v>1708999.7175</v>
      </c>
      <c r="J49" s="17">
        <f t="shared" si="10"/>
        <v>1392162</v>
      </c>
      <c r="K49" s="17">
        <f t="shared" si="10"/>
        <v>1505310.165</v>
      </c>
      <c r="L49" s="17">
        <f t="shared" si="10"/>
        <v>1541642.97</v>
      </c>
      <c r="M49" s="17">
        <f t="shared" si="10"/>
        <v>2277434.19</v>
      </c>
      <c r="N49" s="17">
        <f t="shared" si="10"/>
        <v>3646512.5250000004</v>
      </c>
      <c r="O49" s="17">
        <f t="shared" si="10"/>
        <v>3741882.1500000004</v>
      </c>
      <c r="P49" s="17">
        <f t="shared" si="10"/>
        <v>2824762.5674999999</v>
      </c>
      <c r="Q49" s="17">
        <f t="shared" si="10"/>
        <v>1822525.6350000002</v>
      </c>
      <c r="R49" s="17">
        <f t="shared" si="10"/>
        <v>2188749.54</v>
      </c>
      <c r="S49" s="17">
        <f t="shared" si="10"/>
        <v>1450613.85</v>
      </c>
    </row>
    <row r="50" spans="1:19" ht="10.9" customHeight="1" x14ac:dyDescent="0.2">
      <c r="A50" s="11"/>
      <c r="B50" s="11"/>
      <c r="C50" s="11" t="s">
        <v>56</v>
      </c>
      <c r="D50" s="11"/>
      <c r="E50" s="11"/>
      <c r="F50" s="11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</row>
    <row r="51" spans="1:19" ht="10.9" customHeight="1" x14ac:dyDescent="0.2">
      <c r="F51" s="12" t="s">
        <v>57</v>
      </c>
      <c r="G51" s="5">
        <v>855000</v>
      </c>
      <c r="H51" s="5">
        <v>858750</v>
      </c>
      <c r="I51" s="5">
        <v>832500</v>
      </c>
      <c r="J51" s="5">
        <v>1897500</v>
      </c>
      <c r="K51" s="5">
        <v>1788750</v>
      </c>
      <c r="L51" s="5">
        <v>2790000</v>
      </c>
      <c r="M51" s="5">
        <v>3240000</v>
      </c>
      <c r="N51" s="5">
        <v>2512500</v>
      </c>
      <c r="O51" s="5">
        <v>9247680</v>
      </c>
      <c r="P51" s="5">
        <v>7896495</v>
      </c>
      <c r="Q51" s="5">
        <v>2797650</v>
      </c>
      <c r="R51" s="5">
        <v>1010632.5</v>
      </c>
      <c r="S51" s="5">
        <v>1104210</v>
      </c>
    </row>
    <row r="52" spans="1:19" ht="10.9" customHeight="1" x14ac:dyDescent="0.2">
      <c r="C52" s="13" t="s">
        <v>58</v>
      </c>
      <c r="G52" s="17">
        <f t="shared" ref="G52:S52" si="11">G51</f>
        <v>855000</v>
      </c>
      <c r="H52" s="17">
        <f t="shared" si="11"/>
        <v>858750</v>
      </c>
      <c r="I52" s="17">
        <f t="shared" si="11"/>
        <v>832500</v>
      </c>
      <c r="J52" s="17">
        <f t="shared" si="11"/>
        <v>1897500</v>
      </c>
      <c r="K52" s="17">
        <f t="shared" si="11"/>
        <v>1788750</v>
      </c>
      <c r="L52" s="17">
        <f t="shared" si="11"/>
        <v>2790000</v>
      </c>
      <c r="M52" s="17">
        <f t="shared" si="11"/>
        <v>3240000</v>
      </c>
      <c r="N52" s="17">
        <f t="shared" si="11"/>
        <v>2512500</v>
      </c>
      <c r="O52" s="17">
        <f t="shared" si="11"/>
        <v>9247680</v>
      </c>
      <c r="P52" s="17">
        <f t="shared" si="11"/>
        <v>7896495</v>
      </c>
      <c r="Q52" s="17">
        <f t="shared" si="11"/>
        <v>2797650</v>
      </c>
      <c r="R52" s="17">
        <f t="shared" si="11"/>
        <v>1010632.5</v>
      </c>
      <c r="S52" s="17">
        <f t="shared" si="11"/>
        <v>1104210</v>
      </c>
    </row>
    <row r="53" spans="1:19" ht="10.9" customHeight="1" x14ac:dyDescent="0.2">
      <c r="A53" s="11"/>
      <c r="B53" s="11"/>
      <c r="C53" s="11" t="s">
        <v>59</v>
      </c>
      <c r="D53" s="11"/>
      <c r="E53" s="11"/>
      <c r="F53" s="11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</row>
    <row r="54" spans="1:19" ht="10.9" customHeight="1" x14ac:dyDescent="0.2">
      <c r="F54" s="12" t="s">
        <v>60</v>
      </c>
      <c r="G54" s="5">
        <v>15727500</v>
      </c>
      <c r="H54" s="5">
        <v>74343750</v>
      </c>
      <c r="I54" s="5">
        <v>11999999.999999998</v>
      </c>
      <c r="J54" s="5">
        <v>27070413.75</v>
      </c>
      <c r="K54" s="5">
        <v>55129586.25</v>
      </c>
      <c r="L54" s="5">
        <v>94323749.999999985</v>
      </c>
      <c r="M54" s="5">
        <v>76305000</v>
      </c>
      <c r="N54" s="5">
        <v>94936874.999999985</v>
      </c>
      <c r="O54" s="5">
        <v>123202500</v>
      </c>
      <c r="P54" s="5">
        <v>55571250</v>
      </c>
      <c r="Q54" s="5">
        <v>28552500</v>
      </c>
      <c r="R54" s="5">
        <v>49867499.999999993</v>
      </c>
      <c r="S54" s="5">
        <v>29643750</v>
      </c>
    </row>
    <row r="55" spans="1:19" ht="10.9" customHeight="1" x14ac:dyDescent="0.2">
      <c r="F55" s="12" t="s">
        <v>61</v>
      </c>
      <c r="G55" s="5">
        <v>0</v>
      </c>
      <c r="H55" s="5">
        <v>0</v>
      </c>
      <c r="I55" s="5">
        <v>0</v>
      </c>
      <c r="J55" s="5">
        <v>0</v>
      </c>
      <c r="K55" s="5">
        <v>0</v>
      </c>
      <c r="L55" s="5">
        <v>2625000</v>
      </c>
      <c r="M55" s="5">
        <v>0</v>
      </c>
      <c r="N55" s="5">
        <v>0</v>
      </c>
      <c r="O55" s="5">
        <v>2625000</v>
      </c>
      <c r="P55" s="5">
        <v>150000</v>
      </c>
      <c r="Q55" s="5">
        <v>4612500</v>
      </c>
      <c r="R55" s="5">
        <v>3750000</v>
      </c>
      <c r="S55" s="5">
        <v>14568750</v>
      </c>
    </row>
    <row r="56" spans="1:19" ht="10.9" customHeight="1" x14ac:dyDescent="0.2">
      <c r="F56" s="12" t="s">
        <v>62</v>
      </c>
      <c r="G56" s="5">
        <v>0</v>
      </c>
      <c r="H56" s="5">
        <v>359999.99999999994</v>
      </c>
      <c r="I56" s="5">
        <v>315000</v>
      </c>
      <c r="J56" s="5">
        <v>0</v>
      </c>
      <c r="K56" s="5">
        <v>4781250</v>
      </c>
      <c r="L56" s="5">
        <v>0</v>
      </c>
      <c r="M56" s="5">
        <v>0</v>
      </c>
      <c r="N56" s="5">
        <v>0</v>
      </c>
      <c r="O56" s="5">
        <v>450000</v>
      </c>
      <c r="P56" s="5">
        <v>0</v>
      </c>
      <c r="Q56" s="5">
        <v>270000</v>
      </c>
      <c r="R56" s="5">
        <v>900000</v>
      </c>
      <c r="S56" s="5">
        <v>0</v>
      </c>
    </row>
    <row r="57" spans="1:19" ht="10.9" customHeight="1" x14ac:dyDescent="0.2">
      <c r="C57" s="13" t="s">
        <v>63</v>
      </c>
      <c r="G57" s="17">
        <f t="shared" ref="G57:S57" si="12">SUM(G54:G56)</f>
        <v>15727500</v>
      </c>
      <c r="H57" s="17">
        <f t="shared" si="12"/>
        <v>74703750</v>
      </c>
      <c r="I57" s="17">
        <f t="shared" si="12"/>
        <v>12314999.999999998</v>
      </c>
      <c r="J57" s="17">
        <f t="shared" si="12"/>
        <v>27070413.75</v>
      </c>
      <c r="K57" s="17">
        <f t="shared" si="12"/>
        <v>59910836.25</v>
      </c>
      <c r="L57" s="17">
        <f t="shared" si="12"/>
        <v>96948749.999999985</v>
      </c>
      <c r="M57" s="17">
        <f t="shared" si="12"/>
        <v>76305000</v>
      </c>
      <c r="N57" s="17">
        <f t="shared" si="12"/>
        <v>94936874.999999985</v>
      </c>
      <c r="O57" s="17">
        <f t="shared" si="12"/>
        <v>126277500</v>
      </c>
      <c r="P57" s="17">
        <f t="shared" si="12"/>
        <v>55721250</v>
      </c>
      <c r="Q57" s="17">
        <f t="shared" si="12"/>
        <v>33435000</v>
      </c>
      <c r="R57" s="17">
        <f t="shared" si="12"/>
        <v>54517499.999999993</v>
      </c>
      <c r="S57" s="17">
        <f t="shared" si="12"/>
        <v>44212500</v>
      </c>
    </row>
    <row r="58" spans="1:19" ht="10.9" customHeight="1" x14ac:dyDescent="0.2">
      <c r="B58" s="13" t="s">
        <v>64</v>
      </c>
      <c r="G58" s="17">
        <f t="shared" ref="G58:S58" si="13">(0 + ((G49 + G52) + G57))</f>
        <v>17477538.135000002</v>
      </c>
      <c r="H58" s="17">
        <f t="shared" si="13"/>
        <v>76792495.282499999</v>
      </c>
      <c r="I58" s="17">
        <f t="shared" si="13"/>
        <v>14856499.717499997</v>
      </c>
      <c r="J58" s="17">
        <f t="shared" si="13"/>
        <v>30360075.75</v>
      </c>
      <c r="K58" s="17">
        <f t="shared" si="13"/>
        <v>63204896.414999999</v>
      </c>
      <c r="L58" s="17">
        <f t="shared" si="13"/>
        <v>101280392.96999998</v>
      </c>
      <c r="M58" s="17">
        <f t="shared" si="13"/>
        <v>81822434.189999998</v>
      </c>
      <c r="N58" s="17">
        <f t="shared" si="13"/>
        <v>101095887.52499999</v>
      </c>
      <c r="O58" s="17">
        <f t="shared" si="13"/>
        <v>139267062.15000001</v>
      </c>
      <c r="P58" s="17">
        <f t="shared" si="13"/>
        <v>66442507.567499995</v>
      </c>
      <c r="Q58" s="17">
        <f t="shared" si="13"/>
        <v>38055175.634999998</v>
      </c>
      <c r="R58" s="17">
        <f t="shared" si="13"/>
        <v>57716882.039999992</v>
      </c>
      <c r="S58" s="17">
        <f t="shared" si="13"/>
        <v>46767323.850000001</v>
      </c>
    </row>
    <row r="59" spans="1:19" ht="10.9" customHeight="1" x14ac:dyDescent="0.2">
      <c r="A59" s="13" t="s">
        <v>65</v>
      </c>
      <c r="G59" s="17">
        <f t="shared" ref="G59:S59" si="14">(0 + ((G41 + G45) + G58))</f>
        <v>149677810.035</v>
      </c>
      <c r="H59" s="17">
        <f t="shared" si="14"/>
        <v>315752697.23249996</v>
      </c>
      <c r="I59" s="17">
        <f t="shared" si="14"/>
        <v>155242269.68249997</v>
      </c>
      <c r="J59" s="17">
        <f t="shared" si="14"/>
        <v>235814193.36750001</v>
      </c>
      <c r="K59" s="17">
        <f t="shared" si="14"/>
        <v>320742932.77500004</v>
      </c>
      <c r="L59" s="17">
        <f t="shared" si="14"/>
        <v>462879384.62999994</v>
      </c>
      <c r="M59" s="17">
        <f t="shared" si="14"/>
        <v>400361160.16499996</v>
      </c>
      <c r="N59" s="17">
        <f t="shared" si="14"/>
        <v>517228875.19499993</v>
      </c>
      <c r="O59" s="17">
        <f t="shared" si="14"/>
        <v>471328664.88</v>
      </c>
      <c r="P59" s="17">
        <f t="shared" si="14"/>
        <v>270509901.6825</v>
      </c>
      <c r="Q59" s="17">
        <f t="shared" si="14"/>
        <v>288331371.78749996</v>
      </c>
      <c r="R59" s="17">
        <f t="shared" si="14"/>
        <v>239412457.73249996</v>
      </c>
      <c r="S59" s="17">
        <f t="shared" si="14"/>
        <v>131364391.79250002</v>
      </c>
    </row>
    <row r="60" spans="1:19" ht="13.35" customHeight="1" x14ac:dyDescent="0.25">
      <c r="G60"/>
      <c r="H60"/>
      <c r="I60"/>
      <c r="J60"/>
      <c r="K60"/>
      <c r="L60"/>
      <c r="M60"/>
      <c r="N60"/>
      <c r="O60"/>
      <c r="P60"/>
      <c r="Q60"/>
      <c r="R60"/>
      <c r="S60"/>
    </row>
    <row r="61" spans="1:19" s="9" customFormat="1" ht="12.2" customHeight="1" x14ac:dyDescent="0.2">
      <c r="A61" s="6" t="s">
        <v>66</v>
      </c>
      <c r="B61" s="6"/>
      <c r="C61" s="6"/>
      <c r="D61" s="6"/>
      <c r="E61" s="6"/>
      <c r="F61" s="6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</row>
    <row r="62" spans="1:19" ht="10.9" customHeight="1" x14ac:dyDescent="0.2">
      <c r="A62" s="11"/>
      <c r="B62" s="11" t="s">
        <v>67</v>
      </c>
      <c r="C62" s="11"/>
      <c r="D62" s="11"/>
      <c r="E62" s="11"/>
      <c r="F62" s="11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</row>
    <row r="63" spans="1:19" ht="10.9" customHeight="1" x14ac:dyDescent="0.2">
      <c r="A63" s="11"/>
      <c r="B63" s="11"/>
      <c r="C63" s="11" t="s">
        <v>68</v>
      </c>
      <c r="D63" s="11"/>
      <c r="E63" s="11"/>
      <c r="F63" s="11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</row>
    <row r="64" spans="1:19" ht="10.9" customHeight="1" x14ac:dyDescent="0.2">
      <c r="F64" s="12" t="s">
        <v>69</v>
      </c>
      <c r="G64" s="5">
        <v>6599250</v>
      </c>
      <c r="H64" s="5">
        <v>8523000</v>
      </c>
      <c r="I64" s="5">
        <v>7475250</v>
      </c>
      <c r="J64" s="5">
        <v>8172391.5</v>
      </c>
      <c r="K64" s="5">
        <v>8420017.9725000001</v>
      </c>
      <c r="L64" s="5">
        <v>15357000</v>
      </c>
      <c r="M64" s="5">
        <v>17143299.450000003</v>
      </c>
      <c r="N64" s="5">
        <v>21247915.5</v>
      </c>
      <c r="O64" s="5">
        <v>21313408.184999999</v>
      </c>
      <c r="P64" s="5">
        <v>11299500</v>
      </c>
      <c r="Q64" s="5">
        <v>9936900</v>
      </c>
      <c r="R64" s="5">
        <v>14458050</v>
      </c>
      <c r="S64" s="5">
        <v>11516250</v>
      </c>
    </row>
    <row r="65" spans="1:19" ht="10.9" customHeight="1" x14ac:dyDescent="0.2">
      <c r="C65" s="13" t="s">
        <v>70</v>
      </c>
      <c r="G65" s="17">
        <f t="shared" ref="G65:S65" si="15">G64</f>
        <v>6599250</v>
      </c>
      <c r="H65" s="17">
        <f t="shared" si="15"/>
        <v>8523000</v>
      </c>
      <c r="I65" s="17">
        <f t="shared" si="15"/>
        <v>7475250</v>
      </c>
      <c r="J65" s="17">
        <f t="shared" si="15"/>
        <v>8172391.5</v>
      </c>
      <c r="K65" s="17">
        <f t="shared" si="15"/>
        <v>8420017.9725000001</v>
      </c>
      <c r="L65" s="17">
        <f t="shared" si="15"/>
        <v>15357000</v>
      </c>
      <c r="M65" s="17">
        <f t="shared" si="15"/>
        <v>17143299.450000003</v>
      </c>
      <c r="N65" s="17">
        <f t="shared" si="15"/>
        <v>21247915.5</v>
      </c>
      <c r="O65" s="17">
        <f t="shared" si="15"/>
        <v>21313408.184999999</v>
      </c>
      <c r="P65" s="17">
        <f t="shared" si="15"/>
        <v>11299500</v>
      </c>
      <c r="Q65" s="17">
        <f t="shared" si="15"/>
        <v>9936900</v>
      </c>
      <c r="R65" s="17">
        <f t="shared" si="15"/>
        <v>14458050</v>
      </c>
      <c r="S65" s="17">
        <f t="shared" si="15"/>
        <v>11516250</v>
      </c>
    </row>
    <row r="66" spans="1:19" ht="10.9" customHeight="1" x14ac:dyDescent="0.2">
      <c r="A66" s="11"/>
      <c r="B66" s="11"/>
      <c r="C66" s="11" t="s">
        <v>71</v>
      </c>
      <c r="D66" s="11"/>
      <c r="E66" s="11"/>
      <c r="F66" s="11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</row>
    <row r="67" spans="1:19" ht="10.9" customHeight="1" x14ac:dyDescent="0.2">
      <c r="F67" s="12" t="s">
        <v>72</v>
      </c>
      <c r="G67" s="5">
        <v>0</v>
      </c>
      <c r="H67" s="5">
        <v>67500</v>
      </c>
      <c r="I67" s="5">
        <v>211500</v>
      </c>
      <c r="J67" s="5">
        <v>0</v>
      </c>
      <c r="K67" s="5">
        <v>0</v>
      </c>
      <c r="L67" s="5">
        <v>67500</v>
      </c>
      <c r="M67" s="5">
        <v>288000</v>
      </c>
      <c r="N67" s="5">
        <v>67500</v>
      </c>
      <c r="O67" s="5">
        <v>144000</v>
      </c>
      <c r="P67" s="5">
        <v>337500</v>
      </c>
      <c r="Q67" s="5">
        <v>202500</v>
      </c>
      <c r="R67" s="5">
        <v>202500</v>
      </c>
      <c r="S67" s="5">
        <v>0</v>
      </c>
    </row>
    <row r="68" spans="1:19" ht="10.9" customHeight="1" x14ac:dyDescent="0.2">
      <c r="F68" s="12" t="s">
        <v>73</v>
      </c>
      <c r="G68" s="5">
        <v>134065920.75</v>
      </c>
      <c r="H68" s="5">
        <v>123426651.75</v>
      </c>
      <c r="I68" s="5">
        <v>104015580.75</v>
      </c>
      <c r="J68" s="5">
        <v>127491255.75</v>
      </c>
      <c r="K68" s="5">
        <v>142152912.75</v>
      </c>
      <c r="L68" s="5">
        <v>164855418</v>
      </c>
      <c r="M68" s="5">
        <v>138422255.25</v>
      </c>
      <c r="N68" s="5">
        <v>135392625.75</v>
      </c>
      <c r="O68" s="5">
        <v>121091745.75</v>
      </c>
      <c r="P68" s="5">
        <v>107999687.25</v>
      </c>
      <c r="Q68" s="5">
        <v>117191059.5</v>
      </c>
      <c r="R68" s="5">
        <v>115182942</v>
      </c>
      <c r="S68" s="5">
        <v>97556275.5</v>
      </c>
    </row>
    <row r="69" spans="1:19" ht="10.9" customHeight="1" x14ac:dyDescent="0.2">
      <c r="C69" s="13" t="s">
        <v>74</v>
      </c>
      <c r="G69" s="17">
        <f t="shared" ref="G69:S69" si="16">SUM(G67:G68)</f>
        <v>134065920.75</v>
      </c>
      <c r="H69" s="17">
        <f t="shared" si="16"/>
        <v>123494151.75</v>
      </c>
      <c r="I69" s="17">
        <f t="shared" si="16"/>
        <v>104227080.75</v>
      </c>
      <c r="J69" s="17">
        <f t="shared" si="16"/>
        <v>127491255.75</v>
      </c>
      <c r="K69" s="17">
        <f t="shared" si="16"/>
        <v>142152912.75</v>
      </c>
      <c r="L69" s="17">
        <f t="shared" si="16"/>
        <v>164922918</v>
      </c>
      <c r="M69" s="17">
        <f t="shared" si="16"/>
        <v>138710255.25</v>
      </c>
      <c r="N69" s="17">
        <f t="shared" si="16"/>
        <v>135460125.75</v>
      </c>
      <c r="O69" s="17">
        <f t="shared" si="16"/>
        <v>121235745.75</v>
      </c>
      <c r="P69" s="17">
        <f t="shared" si="16"/>
        <v>108337187.25</v>
      </c>
      <c r="Q69" s="17">
        <f t="shared" si="16"/>
        <v>117393559.5</v>
      </c>
      <c r="R69" s="17">
        <f t="shared" si="16"/>
        <v>115385442</v>
      </c>
      <c r="S69" s="17">
        <f t="shared" si="16"/>
        <v>97556275.5</v>
      </c>
    </row>
    <row r="70" spans="1:19" ht="10.9" customHeight="1" x14ac:dyDescent="0.2">
      <c r="F70" s="12" t="s">
        <v>75</v>
      </c>
      <c r="G70" s="5">
        <v>0</v>
      </c>
      <c r="H70" s="5">
        <v>0</v>
      </c>
      <c r="I70" s="5">
        <v>0</v>
      </c>
      <c r="J70" s="5">
        <v>0</v>
      </c>
      <c r="K70" s="5">
        <v>31492500</v>
      </c>
      <c r="L70" s="5">
        <v>139721250</v>
      </c>
      <c r="M70" s="5">
        <v>103597500</v>
      </c>
      <c r="N70" s="5">
        <v>263268750</v>
      </c>
      <c r="O70" s="5">
        <v>163091250</v>
      </c>
      <c r="P70" s="5">
        <v>42963750</v>
      </c>
      <c r="Q70" s="5">
        <v>24795000</v>
      </c>
      <c r="R70" s="5">
        <v>5985000</v>
      </c>
      <c r="S70" s="5">
        <v>20947500</v>
      </c>
    </row>
    <row r="71" spans="1:19" ht="10.9" customHeight="1" x14ac:dyDescent="0.2">
      <c r="B71" s="13" t="s">
        <v>76</v>
      </c>
      <c r="G71" s="17">
        <f t="shared" ref="G71:S71" si="17">(G70 + (G65 + G69))</f>
        <v>140665170.75</v>
      </c>
      <c r="H71" s="17">
        <f t="shared" si="17"/>
        <v>132017151.75</v>
      </c>
      <c r="I71" s="17">
        <f t="shared" si="17"/>
        <v>111702330.75</v>
      </c>
      <c r="J71" s="17">
        <f t="shared" si="17"/>
        <v>135663647.25</v>
      </c>
      <c r="K71" s="17">
        <f t="shared" si="17"/>
        <v>182065430.7225</v>
      </c>
      <c r="L71" s="17">
        <f t="shared" si="17"/>
        <v>320001168</v>
      </c>
      <c r="M71" s="17">
        <f t="shared" si="17"/>
        <v>259451054.69999999</v>
      </c>
      <c r="N71" s="17">
        <f t="shared" si="17"/>
        <v>419976791.25</v>
      </c>
      <c r="O71" s="17">
        <f t="shared" si="17"/>
        <v>305640403.935</v>
      </c>
      <c r="P71" s="17">
        <f t="shared" si="17"/>
        <v>162600437.25</v>
      </c>
      <c r="Q71" s="17">
        <f t="shared" si="17"/>
        <v>152125459.5</v>
      </c>
      <c r="R71" s="17">
        <f t="shared" si="17"/>
        <v>135828492</v>
      </c>
      <c r="S71" s="17">
        <f t="shared" si="17"/>
        <v>130020025.5</v>
      </c>
    </row>
    <row r="72" spans="1:19" ht="10.9" customHeight="1" x14ac:dyDescent="0.2">
      <c r="A72" s="11"/>
      <c r="B72" s="11" t="s">
        <v>66</v>
      </c>
      <c r="C72" s="11"/>
      <c r="D72" s="11"/>
      <c r="E72" s="11"/>
      <c r="F72" s="11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</row>
    <row r="73" spans="1:19" ht="10.9" customHeight="1" x14ac:dyDescent="0.2">
      <c r="A73" s="11"/>
      <c r="B73" s="11"/>
      <c r="C73" s="11" t="s">
        <v>77</v>
      </c>
      <c r="D73" s="11"/>
      <c r="E73" s="11"/>
      <c r="F73" s="11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</row>
    <row r="74" spans="1:19" ht="10.9" customHeight="1" x14ac:dyDescent="0.2">
      <c r="A74" s="11"/>
      <c r="B74" s="11"/>
      <c r="C74" s="11"/>
      <c r="D74" s="11" t="s">
        <v>78</v>
      </c>
      <c r="E74" s="11"/>
      <c r="F74" s="11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</row>
    <row r="75" spans="1:19" ht="10.9" customHeight="1" x14ac:dyDescent="0.2">
      <c r="A75" s="11"/>
      <c r="B75" s="11"/>
      <c r="C75" s="11"/>
      <c r="D75" s="11"/>
      <c r="E75" s="11" t="s">
        <v>79</v>
      </c>
      <c r="F75" s="11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</row>
    <row r="76" spans="1:19" ht="10.9" customHeight="1" x14ac:dyDescent="0.2">
      <c r="A76" s="11"/>
      <c r="B76" s="11"/>
      <c r="C76" s="11"/>
      <c r="D76" s="11"/>
      <c r="E76" s="11"/>
      <c r="F76" s="11" t="s">
        <v>80</v>
      </c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</row>
    <row r="77" spans="1:19" ht="10.9" customHeight="1" x14ac:dyDescent="0.2">
      <c r="F77" s="12" t="s">
        <v>81</v>
      </c>
      <c r="G77" s="5">
        <v>0</v>
      </c>
      <c r="H77" s="5">
        <v>0</v>
      </c>
      <c r="I77" s="5">
        <v>0</v>
      </c>
      <c r="J77" s="5">
        <v>0</v>
      </c>
      <c r="K77" s="5">
        <v>0</v>
      </c>
      <c r="L77" s="5">
        <v>0</v>
      </c>
      <c r="M77" s="5">
        <v>0</v>
      </c>
      <c r="N77" s="5">
        <v>2850000</v>
      </c>
      <c r="O77" s="5">
        <v>5349750</v>
      </c>
      <c r="P77" s="5">
        <v>629767.5</v>
      </c>
      <c r="Q77" s="5">
        <v>0</v>
      </c>
      <c r="R77" s="5">
        <v>0</v>
      </c>
      <c r="S77" s="5">
        <v>0</v>
      </c>
    </row>
    <row r="78" spans="1:19" ht="10.9" customHeight="1" x14ac:dyDescent="0.2">
      <c r="F78" s="12" t="s">
        <v>82</v>
      </c>
      <c r="G78" s="5">
        <v>4593472.5</v>
      </c>
      <c r="H78" s="5">
        <v>5820087.75</v>
      </c>
      <c r="I78" s="5">
        <v>2697464.25</v>
      </c>
      <c r="J78" s="5">
        <v>2691431.25</v>
      </c>
      <c r="K78" s="5">
        <v>5056560</v>
      </c>
      <c r="L78" s="5">
        <v>12815441.25</v>
      </c>
      <c r="M78" s="5">
        <v>11029872.75</v>
      </c>
      <c r="N78" s="5">
        <v>16630712.01</v>
      </c>
      <c r="O78" s="5">
        <v>13388531.25</v>
      </c>
      <c r="P78" s="5">
        <v>5650528.5</v>
      </c>
      <c r="Q78" s="5">
        <v>596978.25</v>
      </c>
      <c r="R78" s="5">
        <v>1920058.5</v>
      </c>
      <c r="S78" s="5">
        <v>8523750</v>
      </c>
    </row>
    <row r="79" spans="1:19" ht="10.9" customHeight="1" x14ac:dyDescent="0.2">
      <c r="F79" s="12" t="s">
        <v>83</v>
      </c>
      <c r="G79" s="5">
        <v>22488087</v>
      </c>
      <c r="H79" s="5">
        <v>17724905.25</v>
      </c>
      <c r="I79" s="5">
        <v>13827824.25</v>
      </c>
      <c r="J79" s="5">
        <v>12248562</v>
      </c>
      <c r="K79" s="5">
        <v>15671199</v>
      </c>
      <c r="L79" s="5">
        <v>22297461</v>
      </c>
      <c r="M79" s="5">
        <v>21247076.752500001</v>
      </c>
      <c r="N79" s="5">
        <v>31860200.25</v>
      </c>
      <c r="O79" s="5">
        <v>24740781.75</v>
      </c>
      <c r="P79" s="5">
        <v>6693366.0075000003</v>
      </c>
      <c r="Q79" s="5">
        <v>14248422</v>
      </c>
      <c r="R79" s="5">
        <v>18592423.5</v>
      </c>
      <c r="S79" s="5">
        <v>6449232.75</v>
      </c>
    </row>
    <row r="80" spans="1:19" ht="10.9" customHeight="1" x14ac:dyDescent="0.2">
      <c r="F80" s="12" t="s">
        <v>84</v>
      </c>
      <c r="G80" s="5">
        <v>38383090.5</v>
      </c>
      <c r="H80" s="5">
        <v>42910150.5</v>
      </c>
      <c r="I80" s="5">
        <v>34660304.25</v>
      </c>
      <c r="J80" s="5">
        <v>45582728.527499996</v>
      </c>
      <c r="K80" s="5">
        <v>34259637.75</v>
      </c>
      <c r="L80" s="5">
        <v>74217440.25</v>
      </c>
      <c r="M80" s="5">
        <v>70920496.5</v>
      </c>
      <c r="N80" s="5">
        <v>94236207.75</v>
      </c>
      <c r="O80" s="5">
        <v>54672791.8125</v>
      </c>
      <c r="P80" s="5">
        <v>50062451.25</v>
      </c>
      <c r="Q80" s="5">
        <v>43037480.25</v>
      </c>
      <c r="R80" s="5">
        <v>38880601.5</v>
      </c>
      <c r="S80" s="5">
        <v>24605829</v>
      </c>
    </row>
    <row r="81" spans="1:19" ht="10.9" customHeight="1" x14ac:dyDescent="0.2">
      <c r="F81" s="12" t="s">
        <v>85</v>
      </c>
      <c r="G81" s="5">
        <v>690000</v>
      </c>
      <c r="H81" s="5">
        <v>294000</v>
      </c>
      <c r="I81" s="5">
        <v>81000</v>
      </c>
      <c r="J81" s="5">
        <v>37500</v>
      </c>
      <c r="K81" s="5">
        <v>3868125</v>
      </c>
      <c r="L81" s="5">
        <v>14025000</v>
      </c>
      <c r="M81" s="5">
        <v>0</v>
      </c>
      <c r="N81" s="5">
        <v>5957812.5</v>
      </c>
      <c r="O81" s="5">
        <v>0</v>
      </c>
      <c r="P81" s="5">
        <v>0</v>
      </c>
      <c r="Q81" s="5">
        <v>0</v>
      </c>
      <c r="R81" s="5">
        <v>0</v>
      </c>
      <c r="S81" s="5">
        <v>0</v>
      </c>
    </row>
    <row r="82" spans="1:19" ht="10.9" customHeight="1" x14ac:dyDescent="0.2">
      <c r="F82" s="12" t="s">
        <v>86</v>
      </c>
      <c r="G82" s="5">
        <v>7411159.125</v>
      </c>
      <c r="H82" s="5">
        <v>6310491</v>
      </c>
      <c r="I82" s="5">
        <v>5871038.625</v>
      </c>
      <c r="J82" s="5">
        <v>6235335</v>
      </c>
      <c r="K82" s="5">
        <v>9155633.25</v>
      </c>
      <c r="L82" s="5">
        <v>14671581</v>
      </c>
      <c r="M82" s="5">
        <v>11190457.5</v>
      </c>
      <c r="N82" s="5">
        <v>15247912.5</v>
      </c>
      <c r="O82" s="5">
        <v>11048250</v>
      </c>
      <c r="P82" s="5">
        <v>9555112.5</v>
      </c>
      <c r="Q82" s="5">
        <v>8032125</v>
      </c>
      <c r="R82" s="5">
        <v>10231109.625</v>
      </c>
      <c r="S82" s="5">
        <v>4355625</v>
      </c>
    </row>
    <row r="83" spans="1:19" ht="10.9" customHeight="1" x14ac:dyDescent="0.2">
      <c r="F83" s="12" t="s">
        <v>87</v>
      </c>
      <c r="G83" s="5">
        <v>0</v>
      </c>
      <c r="H83" s="5">
        <v>0</v>
      </c>
      <c r="I83" s="5">
        <v>0</v>
      </c>
      <c r="J83" s="5">
        <v>0</v>
      </c>
      <c r="K83" s="5">
        <v>0</v>
      </c>
      <c r="L83" s="5">
        <v>0</v>
      </c>
      <c r="M83" s="5">
        <v>0</v>
      </c>
      <c r="N83" s="5">
        <v>0</v>
      </c>
      <c r="O83" s="5">
        <v>0</v>
      </c>
      <c r="P83" s="5">
        <v>0</v>
      </c>
      <c r="Q83" s="5">
        <v>0</v>
      </c>
      <c r="R83" s="5">
        <v>464553.75</v>
      </c>
      <c r="S83" s="5">
        <v>0</v>
      </c>
    </row>
    <row r="84" spans="1:19" ht="10.9" customHeight="1" x14ac:dyDescent="0.2">
      <c r="F84" s="12" t="s">
        <v>88</v>
      </c>
      <c r="G84" s="5">
        <v>85500</v>
      </c>
      <c r="H84" s="5">
        <v>163218.75</v>
      </c>
      <c r="I84" s="5">
        <v>126000</v>
      </c>
      <c r="J84" s="5">
        <v>148593.75</v>
      </c>
      <c r="K84" s="5">
        <v>337968</v>
      </c>
      <c r="L84" s="5">
        <v>114562.5</v>
      </c>
      <c r="M84" s="5">
        <v>273094.5</v>
      </c>
      <c r="N84" s="5">
        <v>694360.5</v>
      </c>
      <c r="O84" s="5">
        <v>249797.25</v>
      </c>
      <c r="P84" s="5">
        <v>436162.5</v>
      </c>
      <c r="Q84" s="5">
        <v>179193.75</v>
      </c>
      <c r="R84" s="5">
        <v>122343.75</v>
      </c>
      <c r="S84" s="5">
        <v>43500</v>
      </c>
    </row>
    <row r="85" spans="1:19" ht="10.9" customHeight="1" x14ac:dyDescent="0.2">
      <c r="F85" s="12" t="s">
        <v>89</v>
      </c>
      <c r="G85" s="5">
        <v>377499.9975</v>
      </c>
      <c r="H85" s="5">
        <v>1726875</v>
      </c>
      <c r="I85" s="5">
        <v>0</v>
      </c>
      <c r="J85" s="5">
        <v>0</v>
      </c>
      <c r="K85" s="5">
        <v>0</v>
      </c>
      <c r="L85" s="5">
        <v>0</v>
      </c>
      <c r="M85" s="5">
        <v>0</v>
      </c>
      <c r="N85" s="5">
        <v>0</v>
      </c>
      <c r="O85" s="5">
        <v>136500</v>
      </c>
      <c r="P85" s="5">
        <v>0</v>
      </c>
      <c r="Q85" s="5">
        <v>3162375</v>
      </c>
      <c r="R85" s="5">
        <v>0</v>
      </c>
      <c r="S85" s="5">
        <v>0</v>
      </c>
    </row>
    <row r="86" spans="1:19" ht="10.9" customHeight="1" x14ac:dyDescent="0.2">
      <c r="F86" s="13" t="s">
        <v>90</v>
      </c>
      <c r="G86" s="17">
        <f t="shared" ref="G86:S86" si="18">SUM(G77:G85)</f>
        <v>74028809.122500002</v>
      </c>
      <c r="H86" s="17">
        <f t="shared" si="18"/>
        <v>74949728.25</v>
      </c>
      <c r="I86" s="17">
        <f t="shared" si="18"/>
        <v>57263631.375</v>
      </c>
      <c r="J86" s="17">
        <f t="shared" si="18"/>
        <v>66944150.527499996</v>
      </c>
      <c r="K86" s="17">
        <f t="shared" si="18"/>
        <v>68349123</v>
      </c>
      <c r="L86" s="17">
        <f t="shared" si="18"/>
        <v>138141486</v>
      </c>
      <c r="M86" s="17">
        <f t="shared" si="18"/>
        <v>114660998.0025</v>
      </c>
      <c r="N86" s="17">
        <f t="shared" si="18"/>
        <v>167477205.50999999</v>
      </c>
      <c r="O86" s="17">
        <f t="shared" si="18"/>
        <v>109586402.0625</v>
      </c>
      <c r="P86" s="17">
        <f t="shared" si="18"/>
        <v>73027388.257499993</v>
      </c>
      <c r="Q86" s="17">
        <f t="shared" si="18"/>
        <v>69256574.25</v>
      </c>
      <c r="R86" s="17">
        <f t="shared" si="18"/>
        <v>70211090.625</v>
      </c>
      <c r="S86" s="17">
        <f t="shared" si="18"/>
        <v>43977936.75</v>
      </c>
    </row>
    <row r="87" spans="1:19" ht="10.9" customHeight="1" x14ac:dyDescent="0.2">
      <c r="A87" s="11"/>
      <c r="B87" s="11"/>
      <c r="C87" s="11"/>
      <c r="D87" s="11"/>
      <c r="E87" s="11"/>
      <c r="F87" s="11" t="s">
        <v>91</v>
      </c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</row>
    <row r="88" spans="1:19" ht="10.9" customHeight="1" x14ac:dyDescent="0.2">
      <c r="F88" s="12" t="s">
        <v>92</v>
      </c>
      <c r="G88" s="5">
        <v>237000</v>
      </c>
      <c r="H88" s="5">
        <v>228750</v>
      </c>
      <c r="I88" s="5">
        <v>225000</v>
      </c>
      <c r="J88" s="5">
        <v>37500</v>
      </c>
      <c r="K88" s="5">
        <v>277500</v>
      </c>
      <c r="L88" s="5">
        <v>180000</v>
      </c>
      <c r="M88" s="5">
        <v>150000</v>
      </c>
      <c r="N88" s="5">
        <v>187500</v>
      </c>
      <c r="O88" s="5">
        <v>447375</v>
      </c>
      <c r="P88" s="5">
        <v>240000</v>
      </c>
      <c r="Q88" s="5">
        <v>303000</v>
      </c>
      <c r="R88" s="5">
        <v>450000</v>
      </c>
      <c r="S88" s="5">
        <v>339750</v>
      </c>
    </row>
    <row r="89" spans="1:19" ht="10.9" customHeight="1" x14ac:dyDescent="0.2">
      <c r="F89" s="12" t="s">
        <v>93</v>
      </c>
      <c r="G89" s="5">
        <v>250312.5</v>
      </c>
      <c r="H89" s="5">
        <v>285000</v>
      </c>
      <c r="I89" s="5">
        <v>279750</v>
      </c>
      <c r="J89" s="5">
        <v>127500</v>
      </c>
      <c r="K89" s="5">
        <v>372562.5</v>
      </c>
      <c r="L89" s="5">
        <v>1379250</v>
      </c>
      <c r="M89" s="5">
        <v>628875</v>
      </c>
      <c r="N89" s="5">
        <v>258000</v>
      </c>
      <c r="O89" s="5">
        <v>1382625</v>
      </c>
      <c r="P89" s="5">
        <v>1419108.75</v>
      </c>
      <c r="Q89" s="5">
        <v>2482050</v>
      </c>
      <c r="R89" s="5">
        <v>1321500</v>
      </c>
      <c r="S89" s="5">
        <v>109500</v>
      </c>
    </row>
    <row r="90" spans="1:19" ht="10.9" customHeight="1" x14ac:dyDescent="0.2">
      <c r="F90" s="12" t="s">
        <v>94</v>
      </c>
      <c r="G90" s="5">
        <v>115593655.5</v>
      </c>
      <c r="H90" s="5">
        <v>101556482.25</v>
      </c>
      <c r="I90" s="5">
        <v>97193910.75</v>
      </c>
      <c r="J90" s="5">
        <v>78796190.25</v>
      </c>
      <c r="K90" s="5">
        <v>108335713.155</v>
      </c>
      <c r="L90" s="5">
        <v>166450821.02250001</v>
      </c>
      <c r="M90" s="5">
        <v>147535741.52250001</v>
      </c>
      <c r="N90" s="5">
        <v>159010564.5</v>
      </c>
      <c r="O90" s="5">
        <v>115899028.5</v>
      </c>
      <c r="P90" s="5">
        <v>87919120.5</v>
      </c>
      <c r="Q90" s="5">
        <v>33204432.75</v>
      </c>
      <c r="R90" s="5">
        <v>40530447.75</v>
      </c>
      <c r="S90" s="5">
        <v>20749918.5</v>
      </c>
    </row>
    <row r="91" spans="1:19" ht="10.9" customHeight="1" x14ac:dyDescent="0.2">
      <c r="F91" s="12" t="s">
        <v>95</v>
      </c>
      <c r="G91" s="5">
        <v>0</v>
      </c>
      <c r="H91" s="5">
        <v>0</v>
      </c>
      <c r="I91" s="5">
        <v>135705</v>
      </c>
      <c r="J91" s="5">
        <v>158426.25</v>
      </c>
      <c r="K91" s="5">
        <v>219172.5</v>
      </c>
      <c r="L91" s="5">
        <v>280125</v>
      </c>
      <c r="M91" s="5">
        <v>1714365</v>
      </c>
      <c r="N91" s="5">
        <v>99600</v>
      </c>
      <c r="O91" s="5">
        <v>1014264</v>
      </c>
      <c r="P91" s="5">
        <v>521966.25</v>
      </c>
      <c r="Q91" s="5">
        <v>205736.25</v>
      </c>
      <c r="R91" s="5">
        <v>381903.75</v>
      </c>
      <c r="S91" s="5">
        <v>123566.25</v>
      </c>
    </row>
    <row r="92" spans="1:19" ht="10.9" customHeight="1" x14ac:dyDescent="0.2">
      <c r="F92" s="12" t="s">
        <v>96</v>
      </c>
      <c r="G92" s="5">
        <v>25556902.125</v>
      </c>
      <c r="H92" s="5">
        <v>21344600.625</v>
      </c>
      <c r="I92" s="5">
        <v>26383903.5</v>
      </c>
      <c r="J92" s="5">
        <v>44466780.375</v>
      </c>
      <c r="K92" s="5">
        <v>27651746.25</v>
      </c>
      <c r="L92" s="5">
        <v>32900740.875</v>
      </c>
      <c r="M92" s="5">
        <v>7338439.5</v>
      </c>
      <c r="N92" s="5">
        <v>15319124.25</v>
      </c>
      <c r="O92" s="5">
        <v>44045334</v>
      </c>
      <c r="P92" s="5">
        <v>9109613.625</v>
      </c>
      <c r="Q92" s="5">
        <v>4730979.375</v>
      </c>
      <c r="R92" s="5">
        <v>22436442.375</v>
      </c>
      <c r="S92" s="5">
        <v>8351963.25</v>
      </c>
    </row>
    <row r="93" spans="1:19" ht="10.9" customHeight="1" x14ac:dyDescent="0.2">
      <c r="F93" s="12" t="s">
        <v>97</v>
      </c>
      <c r="G93" s="5">
        <v>113062.5</v>
      </c>
      <c r="H93" s="5">
        <v>283912.5</v>
      </c>
      <c r="I93" s="5">
        <v>159469.5</v>
      </c>
      <c r="J93" s="5">
        <v>242250</v>
      </c>
      <c r="K93" s="5">
        <v>598593.75</v>
      </c>
      <c r="L93" s="5">
        <v>260812.5</v>
      </c>
      <c r="M93" s="5">
        <v>217125</v>
      </c>
      <c r="N93" s="5">
        <v>364875</v>
      </c>
      <c r="O93" s="5">
        <v>402000</v>
      </c>
      <c r="P93" s="5">
        <v>277687.5</v>
      </c>
      <c r="Q93" s="5">
        <v>257906.25</v>
      </c>
      <c r="R93" s="5">
        <v>1587539.25</v>
      </c>
      <c r="S93" s="5">
        <v>219093.75</v>
      </c>
    </row>
    <row r="94" spans="1:19" ht="10.9" customHeight="1" x14ac:dyDescent="0.2">
      <c r="F94" s="12" t="s">
        <v>98</v>
      </c>
      <c r="G94" s="5">
        <v>16074375</v>
      </c>
      <c r="H94" s="5">
        <v>33727500</v>
      </c>
      <c r="I94" s="5">
        <v>18236437.5</v>
      </c>
      <c r="J94" s="5">
        <v>20564711.25</v>
      </c>
      <c r="K94" s="5">
        <v>23981913.75</v>
      </c>
      <c r="L94" s="5">
        <v>42067125</v>
      </c>
      <c r="M94" s="5">
        <v>46684875</v>
      </c>
      <c r="N94" s="5">
        <v>47786250</v>
      </c>
      <c r="O94" s="5">
        <v>31556812.5</v>
      </c>
      <c r="P94" s="5">
        <v>22317075</v>
      </c>
      <c r="Q94" s="5">
        <v>20150784</v>
      </c>
      <c r="R94" s="5">
        <v>28937812.5</v>
      </c>
      <c r="S94" s="5">
        <v>17492175</v>
      </c>
    </row>
    <row r="95" spans="1:19" ht="10.9" customHeight="1" x14ac:dyDescent="0.2">
      <c r="F95" s="12" t="s">
        <v>99</v>
      </c>
      <c r="G95" s="5">
        <v>1052951.67</v>
      </c>
      <c r="H95" s="5">
        <v>0</v>
      </c>
      <c r="I95" s="5">
        <v>0</v>
      </c>
      <c r="J95" s="5">
        <v>0</v>
      </c>
      <c r="K95" s="5">
        <v>665136</v>
      </c>
      <c r="L95" s="5">
        <v>537600</v>
      </c>
      <c r="M95" s="5">
        <v>986061.75</v>
      </c>
      <c r="N95" s="5">
        <v>2990512.5</v>
      </c>
      <c r="O95" s="5">
        <v>2783260.71</v>
      </c>
      <c r="P95" s="5">
        <v>281835</v>
      </c>
      <c r="Q95" s="5">
        <v>0</v>
      </c>
      <c r="R95" s="5">
        <v>0</v>
      </c>
      <c r="S95" s="5">
        <v>0</v>
      </c>
    </row>
    <row r="96" spans="1:19" ht="10.9" customHeight="1" x14ac:dyDescent="0.2">
      <c r="F96" s="12" t="s">
        <v>100</v>
      </c>
      <c r="G96" s="5">
        <v>0</v>
      </c>
      <c r="H96" s="5">
        <v>0</v>
      </c>
      <c r="I96" s="5">
        <v>0</v>
      </c>
      <c r="J96" s="5">
        <v>0</v>
      </c>
      <c r="K96" s="5">
        <v>0</v>
      </c>
      <c r="L96" s="5">
        <v>0</v>
      </c>
      <c r="M96" s="5">
        <v>975000</v>
      </c>
      <c r="N96" s="5">
        <v>0</v>
      </c>
      <c r="O96" s="5">
        <v>409500</v>
      </c>
      <c r="P96" s="5">
        <v>0</v>
      </c>
      <c r="Q96" s="5">
        <v>2478375</v>
      </c>
      <c r="R96" s="5">
        <v>414000</v>
      </c>
      <c r="S96" s="5">
        <v>0</v>
      </c>
    </row>
    <row r="97" spans="1:19" ht="10.9" customHeight="1" x14ac:dyDescent="0.2">
      <c r="F97" s="12" t="s">
        <v>101</v>
      </c>
      <c r="G97" s="5">
        <v>0</v>
      </c>
      <c r="H97" s="5">
        <v>0</v>
      </c>
      <c r="I97" s="5">
        <v>0</v>
      </c>
      <c r="J97" s="5">
        <v>1181250</v>
      </c>
      <c r="K97" s="5">
        <v>1297500</v>
      </c>
      <c r="L97" s="5">
        <v>0</v>
      </c>
      <c r="M97" s="5">
        <v>0</v>
      </c>
      <c r="N97" s="5">
        <v>3948750</v>
      </c>
      <c r="O97" s="5">
        <v>0</v>
      </c>
      <c r="P97" s="5">
        <v>0</v>
      </c>
      <c r="Q97" s="5">
        <v>0</v>
      </c>
      <c r="R97" s="5">
        <v>0</v>
      </c>
      <c r="S97" s="5">
        <v>0</v>
      </c>
    </row>
    <row r="98" spans="1:19" ht="10.9" customHeight="1" x14ac:dyDescent="0.2">
      <c r="F98" s="13" t="s">
        <v>102</v>
      </c>
      <c r="G98" s="17">
        <f t="shared" ref="G98:S98" si="19">SUM(G88:G97)</f>
        <v>158878259.29499999</v>
      </c>
      <c r="H98" s="17">
        <f t="shared" si="19"/>
        <v>157426245.375</v>
      </c>
      <c r="I98" s="17">
        <f t="shared" si="19"/>
        <v>142614176.25</v>
      </c>
      <c r="J98" s="17">
        <f t="shared" si="19"/>
        <v>145574608.125</v>
      </c>
      <c r="K98" s="17">
        <f t="shared" si="19"/>
        <v>163399837.905</v>
      </c>
      <c r="L98" s="17">
        <f t="shared" si="19"/>
        <v>244056474.39750001</v>
      </c>
      <c r="M98" s="17">
        <f t="shared" si="19"/>
        <v>206230482.77250001</v>
      </c>
      <c r="N98" s="17">
        <f t="shared" si="19"/>
        <v>229965176.25</v>
      </c>
      <c r="O98" s="17">
        <f t="shared" si="19"/>
        <v>197940199.71000001</v>
      </c>
      <c r="P98" s="17">
        <f t="shared" si="19"/>
        <v>122086406.625</v>
      </c>
      <c r="Q98" s="17">
        <f t="shared" si="19"/>
        <v>63813263.625</v>
      </c>
      <c r="R98" s="17">
        <f t="shared" si="19"/>
        <v>96059645.625</v>
      </c>
      <c r="S98" s="17">
        <f t="shared" si="19"/>
        <v>47385966.75</v>
      </c>
    </row>
    <row r="99" spans="1:19" ht="10.9" customHeight="1" x14ac:dyDescent="0.2">
      <c r="E99" s="13" t="s">
        <v>103</v>
      </c>
      <c r="G99" s="17">
        <f t="shared" ref="G99:S99" si="20">(0 + (G86 + G98))</f>
        <v>232907068.41749999</v>
      </c>
      <c r="H99" s="17">
        <f t="shared" si="20"/>
        <v>232375973.625</v>
      </c>
      <c r="I99" s="17">
        <f t="shared" si="20"/>
        <v>199877807.625</v>
      </c>
      <c r="J99" s="17">
        <f t="shared" si="20"/>
        <v>212518758.6525</v>
      </c>
      <c r="K99" s="17">
        <f t="shared" si="20"/>
        <v>231748960.905</v>
      </c>
      <c r="L99" s="17">
        <f t="shared" si="20"/>
        <v>382197960.39750004</v>
      </c>
      <c r="M99" s="17">
        <f t="shared" si="20"/>
        <v>320891480.77499998</v>
      </c>
      <c r="N99" s="17">
        <f t="shared" si="20"/>
        <v>397442381.75999999</v>
      </c>
      <c r="O99" s="17">
        <f t="shared" si="20"/>
        <v>307526601.77250004</v>
      </c>
      <c r="P99" s="17">
        <f t="shared" si="20"/>
        <v>195113794.88249999</v>
      </c>
      <c r="Q99" s="17">
        <f t="shared" si="20"/>
        <v>133069837.875</v>
      </c>
      <c r="R99" s="17">
        <f t="shared" si="20"/>
        <v>166270736.25</v>
      </c>
      <c r="S99" s="17">
        <f t="shared" si="20"/>
        <v>91363903.5</v>
      </c>
    </row>
    <row r="100" spans="1:19" ht="10.9" customHeight="1" x14ac:dyDescent="0.2">
      <c r="A100" s="11"/>
      <c r="B100" s="11"/>
      <c r="C100" s="11"/>
      <c r="D100" s="11"/>
      <c r="E100" s="11" t="s">
        <v>104</v>
      </c>
      <c r="F100" s="11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</row>
    <row r="101" spans="1:19" ht="10.9" customHeight="1" x14ac:dyDescent="0.2">
      <c r="F101" s="12" t="s">
        <v>105</v>
      </c>
      <c r="G101" s="5">
        <v>0</v>
      </c>
      <c r="H101" s="5">
        <v>207900</v>
      </c>
      <c r="I101" s="5">
        <v>0</v>
      </c>
      <c r="J101" s="5">
        <v>0</v>
      </c>
      <c r="K101" s="5">
        <v>0</v>
      </c>
      <c r="L101" s="5">
        <v>0</v>
      </c>
      <c r="M101" s="5">
        <v>0</v>
      </c>
      <c r="N101" s="5">
        <v>0</v>
      </c>
      <c r="O101" s="5">
        <v>0</v>
      </c>
      <c r="P101" s="5">
        <v>0</v>
      </c>
      <c r="Q101" s="5">
        <v>0</v>
      </c>
      <c r="R101" s="5">
        <v>0</v>
      </c>
      <c r="S101" s="5">
        <v>0</v>
      </c>
    </row>
    <row r="102" spans="1:19" ht="10.9" customHeight="1" x14ac:dyDescent="0.2">
      <c r="F102" s="12" t="s">
        <v>106</v>
      </c>
      <c r="G102" s="5">
        <v>2863125</v>
      </c>
      <c r="H102" s="5">
        <v>3439729.5</v>
      </c>
      <c r="I102" s="5">
        <v>3408187.5</v>
      </c>
      <c r="J102" s="5">
        <v>3609863.25</v>
      </c>
      <c r="K102" s="5">
        <v>4090500</v>
      </c>
      <c r="L102" s="5">
        <v>5154562.5</v>
      </c>
      <c r="M102" s="5">
        <v>3850875</v>
      </c>
      <c r="N102" s="5">
        <v>4198875</v>
      </c>
      <c r="O102" s="5">
        <v>3541875</v>
      </c>
      <c r="P102" s="5">
        <v>2856000</v>
      </c>
      <c r="Q102" s="5">
        <v>3939000</v>
      </c>
      <c r="R102" s="5">
        <v>2450625</v>
      </c>
      <c r="S102" s="5">
        <v>2069250</v>
      </c>
    </row>
    <row r="103" spans="1:19" ht="10.9" customHeight="1" x14ac:dyDescent="0.2">
      <c r="F103" s="12" t="s">
        <v>107</v>
      </c>
      <c r="G103" s="5">
        <v>0</v>
      </c>
      <c r="H103" s="5">
        <v>0</v>
      </c>
      <c r="I103" s="5">
        <v>459540</v>
      </c>
      <c r="J103" s="5">
        <v>406260</v>
      </c>
      <c r="K103" s="5">
        <v>0</v>
      </c>
      <c r="L103" s="5">
        <v>4535424.9975000005</v>
      </c>
      <c r="M103" s="5">
        <v>8929395</v>
      </c>
      <c r="N103" s="5">
        <v>1720462.5</v>
      </c>
      <c r="O103" s="5">
        <v>1134600</v>
      </c>
      <c r="P103" s="5">
        <v>3968625</v>
      </c>
      <c r="Q103" s="5">
        <v>0</v>
      </c>
      <c r="R103" s="5">
        <v>950400</v>
      </c>
      <c r="S103" s="5">
        <v>0</v>
      </c>
    </row>
    <row r="104" spans="1:19" ht="10.9" customHeight="1" x14ac:dyDescent="0.2">
      <c r="F104" s="12" t="s">
        <v>108</v>
      </c>
      <c r="G104" s="5">
        <v>0</v>
      </c>
      <c r="H104" s="5">
        <v>0</v>
      </c>
      <c r="I104" s="5">
        <v>0</v>
      </c>
      <c r="J104" s="5">
        <v>180562.5</v>
      </c>
      <c r="K104" s="5">
        <v>259200</v>
      </c>
      <c r="L104" s="5">
        <v>502720.5</v>
      </c>
      <c r="M104" s="5">
        <v>0</v>
      </c>
      <c r="N104" s="5">
        <v>0</v>
      </c>
      <c r="O104" s="5">
        <v>0</v>
      </c>
      <c r="P104" s="5">
        <v>0</v>
      </c>
      <c r="Q104" s="5">
        <v>0</v>
      </c>
      <c r="R104" s="5">
        <v>0</v>
      </c>
      <c r="S104" s="5">
        <v>0</v>
      </c>
    </row>
    <row r="105" spans="1:19" ht="10.9" customHeight="1" x14ac:dyDescent="0.2">
      <c r="F105" s="12" t="s">
        <v>109</v>
      </c>
      <c r="G105" s="5">
        <v>0</v>
      </c>
      <c r="H105" s="5">
        <v>0</v>
      </c>
      <c r="I105" s="5">
        <v>0</v>
      </c>
      <c r="J105" s="5">
        <v>0</v>
      </c>
      <c r="K105" s="5">
        <v>0</v>
      </c>
      <c r="L105" s="5">
        <v>9070117.5</v>
      </c>
      <c r="M105" s="5">
        <v>0</v>
      </c>
      <c r="N105" s="5">
        <v>0</v>
      </c>
      <c r="O105" s="5">
        <v>0</v>
      </c>
      <c r="P105" s="5">
        <v>0</v>
      </c>
      <c r="Q105" s="5">
        <v>0</v>
      </c>
      <c r="R105" s="5">
        <v>937500</v>
      </c>
      <c r="S105" s="5">
        <v>375000</v>
      </c>
    </row>
    <row r="106" spans="1:19" ht="10.9" customHeight="1" x14ac:dyDescent="0.2">
      <c r="F106" s="12" t="s">
        <v>110</v>
      </c>
      <c r="G106" s="5">
        <v>0</v>
      </c>
      <c r="H106" s="5">
        <v>0</v>
      </c>
      <c r="I106" s="5">
        <v>0</v>
      </c>
      <c r="J106" s="5">
        <v>0</v>
      </c>
      <c r="K106" s="5">
        <v>0</v>
      </c>
      <c r="L106" s="5">
        <v>0</v>
      </c>
      <c r="M106" s="5">
        <v>0</v>
      </c>
      <c r="N106" s="5">
        <v>0</v>
      </c>
      <c r="O106" s="5">
        <v>0</v>
      </c>
      <c r="P106" s="5">
        <v>0</v>
      </c>
      <c r="Q106" s="5">
        <v>0</v>
      </c>
      <c r="R106" s="5">
        <v>104707.5</v>
      </c>
      <c r="S106" s="5">
        <v>452606.25</v>
      </c>
    </row>
    <row r="107" spans="1:19" ht="10.9" customHeight="1" x14ac:dyDescent="0.2">
      <c r="F107" s="12" t="s">
        <v>111</v>
      </c>
      <c r="G107" s="5">
        <v>0</v>
      </c>
      <c r="H107" s="5">
        <v>0</v>
      </c>
      <c r="I107" s="5">
        <v>0</v>
      </c>
      <c r="J107" s="5">
        <v>0</v>
      </c>
      <c r="K107" s="5">
        <v>0</v>
      </c>
      <c r="L107" s="5">
        <v>0</v>
      </c>
      <c r="M107" s="5">
        <v>0</v>
      </c>
      <c r="N107" s="5">
        <v>0</v>
      </c>
      <c r="O107" s="5">
        <v>75000</v>
      </c>
      <c r="P107" s="5">
        <v>0</v>
      </c>
      <c r="Q107" s="5">
        <v>0</v>
      </c>
      <c r="R107" s="5">
        <v>0</v>
      </c>
      <c r="S107" s="5">
        <v>0</v>
      </c>
    </row>
    <row r="108" spans="1:19" ht="10.9" customHeight="1" x14ac:dyDescent="0.2">
      <c r="F108" s="12" t="s">
        <v>112</v>
      </c>
      <c r="G108" s="5">
        <v>7797000</v>
      </c>
      <c r="H108" s="5">
        <v>1687500</v>
      </c>
      <c r="I108" s="5">
        <v>2325000</v>
      </c>
      <c r="J108" s="5">
        <v>37500</v>
      </c>
      <c r="K108" s="5">
        <v>-1158750</v>
      </c>
      <c r="L108" s="5">
        <v>16350000</v>
      </c>
      <c r="M108" s="5">
        <v>0</v>
      </c>
      <c r="N108" s="5">
        <v>0</v>
      </c>
      <c r="O108" s="5">
        <v>0</v>
      </c>
      <c r="P108" s="5">
        <v>92250</v>
      </c>
      <c r="Q108" s="5">
        <v>14250</v>
      </c>
      <c r="R108" s="5">
        <v>0</v>
      </c>
      <c r="S108" s="5">
        <v>0</v>
      </c>
    </row>
    <row r="109" spans="1:19" ht="10.9" customHeight="1" x14ac:dyDescent="0.2">
      <c r="F109" s="12" t="s">
        <v>113</v>
      </c>
      <c r="G109" s="5">
        <v>5006925</v>
      </c>
      <c r="H109" s="5">
        <v>5760748.5</v>
      </c>
      <c r="I109" s="5">
        <v>2706150</v>
      </c>
      <c r="J109" s="5">
        <v>2294625</v>
      </c>
      <c r="K109" s="5">
        <v>3772312.5</v>
      </c>
      <c r="L109" s="5">
        <v>4167525</v>
      </c>
      <c r="M109" s="5">
        <v>5593725</v>
      </c>
      <c r="N109" s="5">
        <v>5667112.5</v>
      </c>
      <c r="O109" s="5">
        <v>3775875</v>
      </c>
      <c r="P109" s="5">
        <v>2727787.5</v>
      </c>
      <c r="Q109" s="5">
        <v>1335973.5</v>
      </c>
      <c r="R109" s="5">
        <v>1618500</v>
      </c>
      <c r="S109" s="5">
        <v>1648125</v>
      </c>
    </row>
    <row r="110" spans="1:19" ht="10.9" customHeight="1" x14ac:dyDescent="0.2">
      <c r="F110" s="12" t="s">
        <v>114</v>
      </c>
      <c r="G110" s="5">
        <v>0</v>
      </c>
      <c r="H110" s="5">
        <v>0</v>
      </c>
      <c r="I110" s="5">
        <v>0</v>
      </c>
      <c r="J110" s="5">
        <v>0</v>
      </c>
      <c r="K110" s="5">
        <v>64842</v>
      </c>
      <c r="L110" s="5">
        <v>475575</v>
      </c>
      <c r="M110" s="5">
        <v>0</v>
      </c>
      <c r="N110" s="5">
        <v>1282500</v>
      </c>
      <c r="O110" s="5">
        <v>2293425</v>
      </c>
      <c r="P110" s="5">
        <v>1501500</v>
      </c>
      <c r="Q110" s="5">
        <v>543000</v>
      </c>
      <c r="R110" s="5">
        <v>341250</v>
      </c>
      <c r="S110" s="5">
        <v>253800</v>
      </c>
    </row>
    <row r="111" spans="1:19" ht="10.9" customHeight="1" x14ac:dyDescent="0.2">
      <c r="F111" s="12" t="s">
        <v>115</v>
      </c>
      <c r="G111" s="5">
        <v>0</v>
      </c>
      <c r="H111" s="5">
        <v>5118476.25</v>
      </c>
      <c r="I111" s="5">
        <v>170814</v>
      </c>
      <c r="J111" s="5">
        <v>0</v>
      </c>
      <c r="K111" s="5">
        <v>1125000</v>
      </c>
      <c r="L111" s="5">
        <v>9583848.75</v>
      </c>
      <c r="M111" s="5">
        <v>15612795</v>
      </c>
      <c r="N111" s="5">
        <v>4713045</v>
      </c>
      <c r="O111" s="5">
        <v>3412500</v>
      </c>
      <c r="P111" s="5">
        <v>0</v>
      </c>
      <c r="Q111" s="5">
        <v>1500000</v>
      </c>
      <c r="R111" s="5">
        <v>0</v>
      </c>
      <c r="S111" s="5">
        <v>34860</v>
      </c>
    </row>
    <row r="112" spans="1:19" ht="10.9" customHeight="1" x14ac:dyDescent="0.2">
      <c r="F112" s="12" t="s">
        <v>116</v>
      </c>
      <c r="G112" s="5">
        <v>7721670.75</v>
      </c>
      <c r="H112" s="5">
        <v>7837634.7524999995</v>
      </c>
      <c r="I112" s="5">
        <v>7308683.25</v>
      </c>
      <c r="J112" s="5">
        <v>7829155.5</v>
      </c>
      <c r="K112" s="5">
        <v>15403023.75</v>
      </c>
      <c r="L112" s="5">
        <v>20419285.754999999</v>
      </c>
      <c r="M112" s="5">
        <v>16677939.75</v>
      </c>
      <c r="N112" s="5">
        <v>17263935.495000001</v>
      </c>
      <c r="O112" s="5">
        <v>31930205.25</v>
      </c>
      <c r="P112" s="5">
        <v>62540811.75</v>
      </c>
      <c r="Q112" s="5">
        <v>7063878</v>
      </c>
      <c r="R112" s="5">
        <v>6493789.5</v>
      </c>
      <c r="S112" s="5">
        <v>4982879.25</v>
      </c>
    </row>
    <row r="113" spans="1:19" ht="10.9" customHeight="1" x14ac:dyDescent="0.2">
      <c r="F113" s="12" t="s">
        <v>117</v>
      </c>
      <c r="G113" s="5">
        <v>196500</v>
      </c>
      <c r="H113" s="5">
        <v>217500</v>
      </c>
      <c r="I113" s="5">
        <v>0</v>
      </c>
      <c r="J113" s="5">
        <v>487500</v>
      </c>
      <c r="K113" s="5">
        <v>202500</v>
      </c>
      <c r="L113" s="5">
        <v>0</v>
      </c>
      <c r="M113" s="5">
        <v>0</v>
      </c>
      <c r="N113" s="5">
        <v>0</v>
      </c>
      <c r="O113" s="5">
        <v>0</v>
      </c>
      <c r="P113" s="5">
        <v>0</v>
      </c>
      <c r="Q113" s="5">
        <v>0</v>
      </c>
      <c r="R113" s="5">
        <v>0</v>
      </c>
      <c r="S113" s="5">
        <v>0</v>
      </c>
    </row>
    <row r="114" spans="1:19" ht="10.9" customHeight="1" x14ac:dyDescent="0.2">
      <c r="F114" s="12" t="s">
        <v>118</v>
      </c>
      <c r="G114" s="5">
        <v>624993</v>
      </c>
      <c r="H114" s="5">
        <v>1792610.7524999999</v>
      </c>
      <c r="I114" s="5">
        <v>816792.75</v>
      </c>
      <c r="J114" s="5">
        <v>929061</v>
      </c>
      <c r="K114" s="5">
        <v>815398.5</v>
      </c>
      <c r="L114" s="5">
        <v>1340293.5</v>
      </c>
      <c r="M114" s="5">
        <v>1149391.5</v>
      </c>
      <c r="N114" s="5">
        <v>1184395.5</v>
      </c>
      <c r="O114" s="5">
        <v>1174939.5</v>
      </c>
      <c r="P114" s="5">
        <v>795477</v>
      </c>
      <c r="Q114" s="5">
        <v>824749.5</v>
      </c>
      <c r="R114" s="5">
        <v>728718.75</v>
      </c>
      <c r="S114" s="5">
        <v>515156.25</v>
      </c>
    </row>
    <row r="115" spans="1:19" ht="10.9" customHeight="1" x14ac:dyDescent="0.2">
      <c r="F115" s="12" t="s">
        <v>119</v>
      </c>
      <c r="G115" s="5">
        <v>1625248.5</v>
      </c>
      <c r="H115" s="5">
        <v>0</v>
      </c>
      <c r="I115" s="5">
        <v>0</v>
      </c>
      <c r="J115" s="5">
        <v>0</v>
      </c>
      <c r="K115" s="5">
        <v>242633.8125</v>
      </c>
      <c r="L115" s="5">
        <v>5058438</v>
      </c>
      <c r="M115" s="5">
        <v>589761</v>
      </c>
      <c r="N115" s="5">
        <v>43456.5</v>
      </c>
      <c r="O115" s="5">
        <v>0</v>
      </c>
      <c r="P115" s="5">
        <v>281377.5</v>
      </c>
      <c r="Q115" s="5">
        <v>234561</v>
      </c>
      <c r="R115" s="5">
        <v>582542.25</v>
      </c>
      <c r="S115" s="5">
        <v>519525</v>
      </c>
    </row>
    <row r="116" spans="1:19" ht="10.9" customHeight="1" x14ac:dyDescent="0.2">
      <c r="F116" s="12" t="s">
        <v>120</v>
      </c>
      <c r="G116" s="5">
        <v>0</v>
      </c>
      <c r="H116" s="5">
        <v>0</v>
      </c>
      <c r="I116" s="5">
        <v>0</v>
      </c>
      <c r="J116" s="5">
        <v>168750</v>
      </c>
      <c r="K116" s="5">
        <v>23890500</v>
      </c>
      <c r="L116" s="5">
        <v>0</v>
      </c>
      <c r="M116" s="5">
        <v>993750</v>
      </c>
      <c r="N116" s="5">
        <v>0</v>
      </c>
      <c r="O116" s="5">
        <v>567750</v>
      </c>
      <c r="P116" s="5">
        <v>0</v>
      </c>
      <c r="Q116" s="5">
        <v>1750125</v>
      </c>
      <c r="R116" s="5">
        <v>0</v>
      </c>
      <c r="S116" s="5">
        <v>0</v>
      </c>
    </row>
    <row r="117" spans="1:19" ht="10.9" customHeight="1" x14ac:dyDescent="0.2">
      <c r="F117" s="12" t="s">
        <v>121</v>
      </c>
      <c r="G117" s="5">
        <v>0</v>
      </c>
      <c r="H117" s="5">
        <v>0</v>
      </c>
      <c r="I117" s="5">
        <v>0</v>
      </c>
      <c r="J117" s="5">
        <v>0</v>
      </c>
      <c r="K117" s="5">
        <v>0</v>
      </c>
      <c r="L117" s="5">
        <v>0</v>
      </c>
      <c r="M117" s="5">
        <v>0</v>
      </c>
      <c r="N117" s="5">
        <v>3205479</v>
      </c>
      <c r="O117" s="5">
        <v>0</v>
      </c>
      <c r="P117" s="5">
        <v>0</v>
      </c>
      <c r="Q117" s="5">
        <v>0</v>
      </c>
      <c r="R117" s="5">
        <v>0</v>
      </c>
      <c r="S117" s="5">
        <v>0</v>
      </c>
    </row>
    <row r="118" spans="1:19" ht="10.9" customHeight="1" x14ac:dyDescent="0.2">
      <c r="E118" s="13" t="s">
        <v>122</v>
      </c>
      <c r="G118" s="17">
        <f t="shared" ref="G118:S118" si="21">SUM(G101:G117)</f>
        <v>25835462.25</v>
      </c>
      <c r="H118" s="17">
        <f t="shared" si="21"/>
        <v>26062099.754999999</v>
      </c>
      <c r="I118" s="17">
        <f t="shared" si="21"/>
        <v>17195167.5</v>
      </c>
      <c r="J118" s="17">
        <f t="shared" si="21"/>
        <v>15943277.25</v>
      </c>
      <c r="K118" s="17">
        <f t="shared" si="21"/>
        <v>48707160.5625</v>
      </c>
      <c r="L118" s="17">
        <f t="shared" si="21"/>
        <v>76657791.502499998</v>
      </c>
      <c r="M118" s="17">
        <f t="shared" si="21"/>
        <v>53397632.25</v>
      </c>
      <c r="N118" s="17">
        <f t="shared" si="21"/>
        <v>39279261.495000005</v>
      </c>
      <c r="O118" s="17">
        <f t="shared" si="21"/>
        <v>47906169.75</v>
      </c>
      <c r="P118" s="17">
        <f t="shared" si="21"/>
        <v>74763828.75</v>
      </c>
      <c r="Q118" s="17">
        <f t="shared" si="21"/>
        <v>17205537</v>
      </c>
      <c r="R118" s="17">
        <f t="shared" si="21"/>
        <v>14208033</v>
      </c>
      <c r="S118" s="17">
        <f t="shared" si="21"/>
        <v>10851201.75</v>
      </c>
    </row>
    <row r="119" spans="1:19" ht="10.9" customHeight="1" x14ac:dyDescent="0.2">
      <c r="A119" s="11"/>
      <c r="B119" s="11"/>
      <c r="C119" s="11"/>
      <c r="D119" s="11"/>
      <c r="E119" s="11" t="s">
        <v>123</v>
      </c>
      <c r="F119" s="11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</row>
    <row r="120" spans="1:19" ht="10.9" customHeight="1" x14ac:dyDescent="0.2">
      <c r="F120" s="12" t="s">
        <v>124</v>
      </c>
      <c r="G120" s="5">
        <v>0</v>
      </c>
      <c r="H120" s="5">
        <v>0</v>
      </c>
      <c r="I120" s="5">
        <v>0</v>
      </c>
      <c r="J120" s="5">
        <v>0</v>
      </c>
      <c r="K120" s="5">
        <v>0</v>
      </c>
      <c r="L120" s="5">
        <v>0</v>
      </c>
      <c r="M120" s="5">
        <v>16500000</v>
      </c>
      <c r="N120" s="5">
        <v>16500000</v>
      </c>
      <c r="O120" s="5">
        <v>16500000</v>
      </c>
      <c r="P120" s="5">
        <v>0</v>
      </c>
      <c r="Q120" s="5">
        <v>0</v>
      </c>
      <c r="R120" s="5">
        <v>0</v>
      </c>
      <c r="S120" s="5">
        <v>0</v>
      </c>
    </row>
    <row r="121" spans="1:19" ht="10.9" customHeight="1" x14ac:dyDescent="0.2">
      <c r="F121" s="12" t="s">
        <v>125</v>
      </c>
      <c r="G121" s="5">
        <v>167097</v>
      </c>
      <c r="H121" s="5">
        <v>0</v>
      </c>
      <c r="I121" s="5">
        <v>19415.25</v>
      </c>
      <c r="J121" s="5">
        <v>19415.25</v>
      </c>
      <c r="K121" s="5">
        <v>0</v>
      </c>
      <c r="L121" s="5">
        <v>136437.75</v>
      </c>
      <c r="M121" s="5">
        <v>206973.75</v>
      </c>
      <c r="N121" s="5">
        <v>453641.25</v>
      </c>
      <c r="O121" s="5">
        <v>282450</v>
      </c>
      <c r="P121" s="5">
        <v>36225</v>
      </c>
      <c r="Q121" s="5">
        <v>54337.5</v>
      </c>
      <c r="R121" s="5">
        <v>49560</v>
      </c>
      <c r="S121" s="5">
        <v>113253.75</v>
      </c>
    </row>
    <row r="122" spans="1:19" ht="10.9" customHeight="1" x14ac:dyDescent="0.2">
      <c r="F122" s="12" t="s">
        <v>126</v>
      </c>
      <c r="G122" s="5">
        <v>0</v>
      </c>
      <c r="H122" s="5">
        <v>0</v>
      </c>
      <c r="I122" s="5">
        <v>0</v>
      </c>
      <c r="J122" s="5">
        <v>0</v>
      </c>
      <c r="K122" s="5">
        <v>0</v>
      </c>
      <c r="L122" s="5">
        <v>1132794.75</v>
      </c>
      <c r="M122" s="5">
        <v>0</v>
      </c>
      <c r="N122" s="5">
        <v>0</v>
      </c>
      <c r="O122" s="5">
        <v>0</v>
      </c>
      <c r="P122" s="5">
        <v>0</v>
      </c>
      <c r="Q122" s="5">
        <v>0</v>
      </c>
      <c r="R122" s="5">
        <v>0</v>
      </c>
      <c r="S122" s="5">
        <v>0</v>
      </c>
    </row>
    <row r="123" spans="1:19" ht="10.9" customHeight="1" x14ac:dyDescent="0.2">
      <c r="F123" s="12" t="s">
        <v>127</v>
      </c>
      <c r="G123" s="5">
        <v>84375</v>
      </c>
      <c r="H123" s="5">
        <v>157500</v>
      </c>
      <c r="I123" s="5">
        <v>194250</v>
      </c>
      <c r="J123" s="5">
        <v>144000</v>
      </c>
      <c r="K123" s="5">
        <v>186375</v>
      </c>
      <c r="L123" s="5">
        <v>84375</v>
      </c>
      <c r="M123" s="5">
        <v>226125</v>
      </c>
      <c r="N123" s="5">
        <v>273562.5</v>
      </c>
      <c r="O123" s="5">
        <v>324000</v>
      </c>
      <c r="P123" s="5">
        <v>0</v>
      </c>
      <c r="Q123" s="5">
        <v>0</v>
      </c>
      <c r="R123" s="5">
        <v>0</v>
      </c>
      <c r="S123" s="5">
        <v>0</v>
      </c>
    </row>
    <row r="124" spans="1:19" ht="10.9" customHeight="1" x14ac:dyDescent="0.2">
      <c r="F124" s="12" t="s">
        <v>128</v>
      </c>
      <c r="G124" s="5">
        <v>0</v>
      </c>
      <c r="H124" s="5">
        <v>0</v>
      </c>
      <c r="I124" s="5">
        <v>756600</v>
      </c>
      <c r="J124" s="5">
        <v>5035200</v>
      </c>
      <c r="K124" s="5">
        <v>0</v>
      </c>
      <c r="L124" s="5">
        <v>0</v>
      </c>
      <c r="M124" s="5">
        <v>0</v>
      </c>
      <c r="N124" s="5">
        <v>0</v>
      </c>
      <c r="O124" s="5">
        <v>4275600</v>
      </c>
      <c r="P124" s="5">
        <v>0</v>
      </c>
      <c r="Q124" s="5">
        <v>0</v>
      </c>
      <c r="R124" s="5">
        <v>781800</v>
      </c>
      <c r="S124" s="5">
        <v>0</v>
      </c>
    </row>
    <row r="125" spans="1:19" ht="10.9" customHeight="1" x14ac:dyDescent="0.2">
      <c r="F125" s="12" t="s">
        <v>129</v>
      </c>
      <c r="G125" s="5">
        <v>0</v>
      </c>
      <c r="H125" s="5">
        <v>0</v>
      </c>
      <c r="I125" s="5">
        <v>0</v>
      </c>
      <c r="J125" s="5">
        <v>0</v>
      </c>
      <c r="K125" s="5">
        <v>0</v>
      </c>
      <c r="L125" s="5">
        <v>0</v>
      </c>
      <c r="M125" s="5">
        <v>0</v>
      </c>
      <c r="N125" s="5">
        <v>0</v>
      </c>
      <c r="O125" s="5">
        <v>0</v>
      </c>
      <c r="P125" s="5">
        <v>0</v>
      </c>
      <c r="Q125" s="5">
        <v>0</v>
      </c>
      <c r="R125" s="5">
        <v>0</v>
      </c>
      <c r="S125" s="5">
        <v>17430</v>
      </c>
    </row>
    <row r="126" spans="1:19" ht="10.9" customHeight="1" x14ac:dyDescent="0.2">
      <c r="F126" s="12" t="s">
        <v>130</v>
      </c>
      <c r="G126" s="5">
        <v>0</v>
      </c>
      <c r="H126" s="5">
        <v>6456357</v>
      </c>
      <c r="I126" s="5">
        <v>31800</v>
      </c>
      <c r="J126" s="5">
        <v>53625</v>
      </c>
      <c r="K126" s="5">
        <v>1197713.5050000001</v>
      </c>
      <c r="L126" s="5">
        <v>1144683.75</v>
      </c>
      <c r="M126" s="5">
        <v>1961014.5</v>
      </c>
      <c r="N126" s="5">
        <v>3853500</v>
      </c>
      <c r="O126" s="5">
        <v>4352625</v>
      </c>
      <c r="P126" s="5">
        <v>342819.75</v>
      </c>
      <c r="Q126" s="5">
        <v>74250</v>
      </c>
      <c r="R126" s="5">
        <v>872625</v>
      </c>
      <c r="S126" s="5">
        <v>195000</v>
      </c>
    </row>
    <row r="127" spans="1:19" ht="10.9" customHeight="1" x14ac:dyDescent="0.2">
      <c r="F127" s="12" t="s">
        <v>131</v>
      </c>
      <c r="G127" s="5">
        <v>72468.75</v>
      </c>
      <c r="H127" s="5">
        <v>0</v>
      </c>
      <c r="I127" s="5">
        <v>15000</v>
      </c>
      <c r="J127" s="5">
        <v>0</v>
      </c>
      <c r="K127" s="5">
        <v>134625</v>
      </c>
      <c r="L127" s="5">
        <v>75609.75</v>
      </c>
      <c r="M127" s="5">
        <v>61500</v>
      </c>
      <c r="N127" s="5">
        <v>299343.75</v>
      </c>
      <c r="O127" s="5">
        <v>94828.5</v>
      </c>
      <c r="P127" s="5">
        <v>127500</v>
      </c>
      <c r="Q127" s="5">
        <v>0</v>
      </c>
      <c r="R127" s="5">
        <v>22500</v>
      </c>
      <c r="S127" s="5">
        <v>339000</v>
      </c>
    </row>
    <row r="128" spans="1:19" ht="10.9" customHeight="1" x14ac:dyDescent="0.2">
      <c r="F128" s="12" t="s">
        <v>132</v>
      </c>
      <c r="G128" s="5">
        <v>0</v>
      </c>
      <c r="H128" s="5">
        <v>0</v>
      </c>
      <c r="I128" s="5">
        <v>0</v>
      </c>
      <c r="J128" s="5">
        <v>0</v>
      </c>
      <c r="K128" s="5">
        <v>0</v>
      </c>
      <c r="L128" s="5">
        <v>0</v>
      </c>
      <c r="M128" s="5">
        <v>0</v>
      </c>
      <c r="N128" s="5">
        <v>150000</v>
      </c>
      <c r="O128" s="5">
        <v>0</v>
      </c>
      <c r="P128" s="5">
        <v>0</v>
      </c>
      <c r="Q128" s="5">
        <v>0</v>
      </c>
      <c r="R128" s="5">
        <v>0</v>
      </c>
      <c r="S128" s="5">
        <v>0</v>
      </c>
    </row>
    <row r="129" spans="1:19" ht="10.9" customHeight="1" x14ac:dyDescent="0.2">
      <c r="F129" s="12" t="s">
        <v>133</v>
      </c>
      <c r="G129" s="5">
        <v>0</v>
      </c>
      <c r="H129" s="5">
        <v>0</v>
      </c>
      <c r="I129" s="5">
        <v>0</v>
      </c>
      <c r="J129" s="5">
        <v>0</v>
      </c>
      <c r="K129" s="5">
        <v>0</v>
      </c>
      <c r="L129" s="5">
        <v>3487500</v>
      </c>
      <c r="M129" s="5">
        <v>0</v>
      </c>
      <c r="N129" s="5">
        <v>0</v>
      </c>
      <c r="O129" s="5">
        <v>3436500</v>
      </c>
      <c r="P129" s="5">
        <v>0</v>
      </c>
      <c r="Q129" s="5">
        <v>136500</v>
      </c>
      <c r="R129" s="5">
        <v>0</v>
      </c>
      <c r="S129" s="5">
        <v>0</v>
      </c>
    </row>
    <row r="130" spans="1:19" ht="10.9" customHeight="1" x14ac:dyDescent="0.2">
      <c r="F130" s="12" t="s">
        <v>134</v>
      </c>
      <c r="G130" s="5">
        <v>0</v>
      </c>
      <c r="H130" s="5">
        <v>67500</v>
      </c>
      <c r="I130" s="5">
        <v>0</v>
      </c>
      <c r="J130" s="5">
        <v>0</v>
      </c>
      <c r="K130" s="5">
        <v>0</v>
      </c>
      <c r="L130" s="5">
        <v>0</v>
      </c>
      <c r="M130" s="5">
        <v>0</v>
      </c>
      <c r="N130" s="5">
        <v>202500</v>
      </c>
      <c r="O130" s="5">
        <v>499500</v>
      </c>
      <c r="P130" s="5">
        <v>288000</v>
      </c>
      <c r="Q130" s="5">
        <v>288000</v>
      </c>
      <c r="R130" s="5">
        <v>288000</v>
      </c>
      <c r="S130" s="5">
        <v>288000</v>
      </c>
    </row>
    <row r="131" spans="1:19" ht="10.9" customHeight="1" x14ac:dyDescent="0.2">
      <c r="F131" s="12" t="s">
        <v>135</v>
      </c>
      <c r="G131" s="5">
        <v>0</v>
      </c>
      <c r="H131" s="5">
        <v>0</v>
      </c>
      <c r="I131" s="5">
        <v>0</v>
      </c>
      <c r="J131" s="5">
        <v>0</v>
      </c>
      <c r="K131" s="5">
        <v>0</v>
      </c>
      <c r="L131" s="5">
        <v>0</v>
      </c>
      <c r="M131" s="5">
        <v>0</v>
      </c>
      <c r="N131" s="5">
        <v>0</v>
      </c>
      <c r="O131" s="5">
        <v>209598.75</v>
      </c>
      <c r="P131" s="5">
        <v>0</v>
      </c>
      <c r="Q131" s="5">
        <v>0</v>
      </c>
      <c r="R131" s="5">
        <v>0</v>
      </c>
      <c r="S131" s="5">
        <v>0</v>
      </c>
    </row>
    <row r="132" spans="1:19" ht="10.9" customHeight="1" x14ac:dyDescent="0.2">
      <c r="F132" s="12" t="s">
        <v>136</v>
      </c>
      <c r="G132" s="5">
        <v>2623500</v>
      </c>
      <c r="H132" s="5">
        <v>2905125</v>
      </c>
      <c r="I132" s="5">
        <v>3884437.5</v>
      </c>
      <c r="J132" s="5">
        <v>4171312.5</v>
      </c>
      <c r="K132" s="5">
        <v>5244375</v>
      </c>
      <c r="L132" s="5">
        <v>5973562.5</v>
      </c>
      <c r="M132" s="5">
        <v>6334500</v>
      </c>
      <c r="N132" s="5">
        <v>7245750</v>
      </c>
      <c r="O132" s="5">
        <v>0</v>
      </c>
      <c r="P132" s="5">
        <v>0</v>
      </c>
      <c r="Q132" s="5">
        <v>0</v>
      </c>
      <c r="R132" s="5">
        <v>0</v>
      </c>
      <c r="S132" s="5">
        <v>0</v>
      </c>
    </row>
    <row r="133" spans="1:19" ht="10.9" customHeight="1" x14ac:dyDescent="0.2">
      <c r="E133" s="13" t="s">
        <v>137</v>
      </c>
      <c r="G133" s="17">
        <f t="shared" ref="G133:S133" si="22">SUM(G120:G132)</f>
        <v>2947440.75</v>
      </c>
      <c r="H133" s="17">
        <f t="shared" si="22"/>
        <v>9586482</v>
      </c>
      <c r="I133" s="17">
        <f t="shared" si="22"/>
        <v>4901502.75</v>
      </c>
      <c r="J133" s="17">
        <f t="shared" si="22"/>
        <v>9423552.75</v>
      </c>
      <c r="K133" s="17">
        <f t="shared" si="22"/>
        <v>6763088.5049999999</v>
      </c>
      <c r="L133" s="17">
        <f t="shared" si="22"/>
        <v>12034963.5</v>
      </c>
      <c r="M133" s="17">
        <f t="shared" si="22"/>
        <v>25290113.25</v>
      </c>
      <c r="N133" s="17">
        <f t="shared" si="22"/>
        <v>28978297.5</v>
      </c>
      <c r="O133" s="17">
        <f t="shared" si="22"/>
        <v>29975102.25</v>
      </c>
      <c r="P133" s="17">
        <f t="shared" si="22"/>
        <v>794544.75</v>
      </c>
      <c r="Q133" s="17">
        <f t="shared" si="22"/>
        <v>553087.5</v>
      </c>
      <c r="R133" s="17">
        <f t="shared" si="22"/>
        <v>2014485</v>
      </c>
      <c r="S133" s="17">
        <f t="shared" si="22"/>
        <v>952683.75</v>
      </c>
    </row>
    <row r="134" spans="1:19" ht="10.9" customHeight="1" x14ac:dyDescent="0.2">
      <c r="D134" s="13" t="s">
        <v>138</v>
      </c>
      <c r="G134" s="17">
        <f t="shared" ref="G134:S134" si="23">(0 + ((G99 + G118) + G133))</f>
        <v>261689971.41749999</v>
      </c>
      <c r="H134" s="17">
        <f t="shared" si="23"/>
        <v>268024555.38</v>
      </c>
      <c r="I134" s="17">
        <f t="shared" si="23"/>
        <v>221974477.875</v>
      </c>
      <c r="J134" s="17">
        <f t="shared" si="23"/>
        <v>237885588.6525</v>
      </c>
      <c r="K134" s="17">
        <f t="shared" si="23"/>
        <v>287219209.97249997</v>
      </c>
      <c r="L134" s="17">
        <f t="shared" si="23"/>
        <v>470890715.40000004</v>
      </c>
      <c r="M134" s="17">
        <f t="shared" si="23"/>
        <v>399579226.27499998</v>
      </c>
      <c r="N134" s="17">
        <f t="shared" si="23"/>
        <v>465699940.755</v>
      </c>
      <c r="O134" s="17">
        <f t="shared" si="23"/>
        <v>385407873.77250004</v>
      </c>
      <c r="P134" s="17">
        <f t="shared" si="23"/>
        <v>270672168.38249999</v>
      </c>
      <c r="Q134" s="17">
        <f t="shared" si="23"/>
        <v>150828462.375</v>
      </c>
      <c r="R134" s="17">
        <f t="shared" si="23"/>
        <v>182493254.25</v>
      </c>
      <c r="S134" s="17">
        <f t="shared" si="23"/>
        <v>103167789</v>
      </c>
    </row>
    <row r="135" spans="1:19" ht="10.9" customHeight="1" x14ac:dyDescent="0.2">
      <c r="C135" s="13" t="s">
        <v>139</v>
      </c>
      <c r="G135" s="17">
        <f t="shared" ref="G135:S135" si="24">(0 + G134)</f>
        <v>261689971.41749999</v>
      </c>
      <c r="H135" s="17">
        <f t="shared" si="24"/>
        <v>268024555.38</v>
      </c>
      <c r="I135" s="17">
        <f t="shared" si="24"/>
        <v>221974477.875</v>
      </c>
      <c r="J135" s="17">
        <f t="shared" si="24"/>
        <v>237885588.6525</v>
      </c>
      <c r="K135" s="17">
        <f t="shared" si="24"/>
        <v>287219209.97249997</v>
      </c>
      <c r="L135" s="17">
        <f t="shared" si="24"/>
        <v>470890715.40000004</v>
      </c>
      <c r="M135" s="17">
        <f t="shared" si="24"/>
        <v>399579226.27499998</v>
      </c>
      <c r="N135" s="17">
        <f t="shared" si="24"/>
        <v>465699940.755</v>
      </c>
      <c r="O135" s="17">
        <f t="shared" si="24"/>
        <v>385407873.77250004</v>
      </c>
      <c r="P135" s="17">
        <f t="shared" si="24"/>
        <v>270672168.38249999</v>
      </c>
      <c r="Q135" s="17">
        <f t="shared" si="24"/>
        <v>150828462.375</v>
      </c>
      <c r="R135" s="17">
        <f t="shared" si="24"/>
        <v>182493254.25</v>
      </c>
      <c r="S135" s="17">
        <f t="shared" si="24"/>
        <v>103167789</v>
      </c>
    </row>
    <row r="136" spans="1:19" ht="10.9" customHeight="1" x14ac:dyDescent="0.2">
      <c r="A136" s="11"/>
      <c r="B136" s="11"/>
      <c r="C136" s="11" t="s">
        <v>140</v>
      </c>
      <c r="D136" s="11"/>
      <c r="E136" s="11"/>
      <c r="F136" s="11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</row>
    <row r="137" spans="1:19" ht="10.9" customHeight="1" x14ac:dyDescent="0.2">
      <c r="A137" s="11"/>
      <c r="B137" s="11"/>
      <c r="C137" s="11"/>
      <c r="D137" s="11" t="s">
        <v>141</v>
      </c>
      <c r="E137" s="11"/>
      <c r="F137" s="11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</row>
    <row r="138" spans="1:19" ht="10.9" customHeight="1" x14ac:dyDescent="0.2">
      <c r="A138" s="11"/>
      <c r="B138" s="11"/>
      <c r="C138" s="11"/>
      <c r="D138" s="11"/>
      <c r="E138" s="11" t="s">
        <v>142</v>
      </c>
      <c r="F138" s="11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</row>
    <row r="139" spans="1:19" ht="10.9" customHeight="1" x14ac:dyDescent="0.2">
      <c r="A139" s="11"/>
      <c r="B139" s="11"/>
      <c r="C139" s="11"/>
      <c r="D139" s="11"/>
      <c r="E139" s="11"/>
      <c r="F139" s="11" t="s">
        <v>142</v>
      </c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</row>
    <row r="140" spans="1:19" ht="10.9" customHeight="1" x14ac:dyDescent="0.2">
      <c r="F140" s="12" t="s">
        <v>143</v>
      </c>
      <c r="G140" s="5">
        <v>0</v>
      </c>
      <c r="H140" s="5">
        <v>0</v>
      </c>
      <c r="I140" s="5">
        <v>0</v>
      </c>
      <c r="J140" s="5">
        <v>0</v>
      </c>
      <c r="K140" s="5">
        <v>0</v>
      </c>
      <c r="L140" s="5">
        <v>0</v>
      </c>
      <c r="M140" s="5">
        <v>7500000</v>
      </c>
      <c r="N140" s="5">
        <v>0</v>
      </c>
      <c r="O140" s="5">
        <v>0</v>
      </c>
      <c r="P140" s="5">
        <v>0</v>
      </c>
      <c r="Q140" s="5">
        <v>0</v>
      </c>
      <c r="R140" s="5">
        <v>0</v>
      </c>
      <c r="S140" s="5">
        <v>0</v>
      </c>
    </row>
    <row r="141" spans="1:19" ht="10.9" customHeight="1" x14ac:dyDescent="0.2">
      <c r="F141" s="12" t="s">
        <v>144</v>
      </c>
      <c r="G141" s="5">
        <v>1984491</v>
      </c>
      <c r="H141" s="5">
        <v>424545</v>
      </c>
      <c r="I141" s="5">
        <v>70965</v>
      </c>
      <c r="J141" s="5">
        <v>0</v>
      </c>
      <c r="K141" s="5">
        <v>616755</v>
      </c>
      <c r="L141" s="5">
        <v>16807.5</v>
      </c>
      <c r="M141" s="5">
        <v>4457361.4499999993</v>
      </c>
      <c r="N141" s="5">
        <v>0</v>
      </c>
      <c r="O141" s="5">
        <v>4391682</v>
      </c>
      <c r="P141" s="5">
        <v>126990</v>
      </c>
      <c r="Q141" s="5">
        <v>927525</v>
      </c>
      <c r="R141" s="5">
        <v>2211727.5</v>
      </c>
      <c r="S141" s="5">
        <v>215385</v>
      </c>
    </row>
    <row r="142" spans="1:19" ht="10.9" customHeight="1" x14ac:dyDescent="0.2">
      <c r="F142" s="12" t="s">
        <v>145</v>
      </c>
      <c r="G142" s="5">
        <v>0</v>
      </c>
      <c r="H142" s="5">
        <v>0</v>
      </c>
      <c r="I142" s="5">
        <v>0</v>
      </c>
      <c r="J142" s="5">
        <v>0</v>
      </c>
      <c r="K142" s="5">
        <v>0</v>
      </c>
      <c r="L142" s="5">
        <v>0</v>
      </c>
      <c r="M142" s="5">
        <v>0</v>
      </c>
      <c r="N142" s="5">
        <v>0</v>
      </c>
      <c r="O142" s="5">
        <v>0</v>
      </c>
      <c r="P142" s="5">
        <v>0</v>
      </c>
      <c r="Q142" s="5">
        <v>0</v>
      </c>
      <c r="R142" s="5">
        <v>0</v>
      </c>
      <c r="S142" s="5">
        <v>3750000</v>
      </c>
    </row>
    <row r="143" spans="1:19" ht="10.9" customHeight="1" x14ac:dyDescent="0.2">
      <c r="F143" s="12" t="s">
        <v>146</v>
      </c>
      <c r="G143" s="5">
        <v>0</v>
      </c>
      <c r="H143" s="5">
        <v>0</v>
      </c>
      <c r="I143" s="5">
        <v>97503.75</v>
      </c>
      <c r="J143" s="5">
        <v>3069.75</v>
      </c>
      <c r="K143" s="5">
        <v>0</v>
      </c>
      <c r="L143" s="5">
        <v>0</v>
      </c>
      <c r="M143" s="5">
        <v>0</v>
      </c>
      <c r="N143" s="5">
        <v>164250</v>
      </c>
      <c r="O143" s="5">
        <v>750000</v>
      </c>
      <c r="P143" s="5">
        <v>750000</v>
      </c>
      <c r="Q143" s="5">
        <v>750000</v>
      </c>
      <c r="R143" s="5">
        <v>0</v>
      </c>
      <c r="S143" s="5">
        <v>0</v>
      </c>
    </row>
    <row r="144" spans="1:19" ht="10.9" customHeight="1" x14ac:dyDescent="0.2">
      <c r="F144" s="12" t="s">
        <v>147</v>
      </c>
      <c r="G144" s="5">
        <v>75750</v>
      </c>
      <c r="H144" s="5">
        <v>306000</v>
      </c>
      <c r="I144" s="5">
        <v>78000</v>
      </c>
      <c r="J144" s="5">
        <v>10500</v>
      </c>
      <c r="K144" s="5">
        <v>68025</v>
      </c>
      <c r="L144" s="5">
        <v>177900</v>
      </c>
      <c r="M144" s="5">
        <v>50625</v>
      </c>
      <c r="N144" s="5">
        <v>0</v>
      </c>
      <c r="O144" s="5">
        <v>0</v>
      </c>
      <c r="P144" s="5">
        <v>0</v>
      </c>
      <c r="Q144" s="5">
        <v>0</v>
      </c>
      <c r="R144" s="5">
        <v>0</v>
      </c>
      <c r="S144" s="5">
        <v>0</v>
      </c>
    </row>
    <row r="145" spans="1:19" ht="10.9" customHeight="1" x14ac:dyDescent="0.2">
      <c r="F145" s="12" t="s">
        <v>148</v>
      </c>
      <c r="G145" s="5">
        <v>0</v>
      </c>
      <c r="H145" s="5">
        <v>937500</v>
      </c>
      <c r="I145" s="5">
        <v>412500</v>
      </c>
      <c r="J145" s="5">
        <v>0</v>
      </c>
      <c r="K145" s="5">
        <v>0</v>
      </c>
      <c r="L145" s="5">
        <v>0</v>
      </c>
      <c r="M145" s="5">
        <v>0</v>
      </c>
      <c r="N145" s="5">
        <v>0</v>
      </c>
      <c r="O145" s="5">
        <v>0</v>
      </c>
      <c r="P145" s="5">
        <v>0</v>
      </c>
      <c r="Q145" s="5">
        <v>0</v>
      </c>
      <c r="R145" s="5">
        <v>0</v>
      </c>
      <c r="S145" s="5">
        <v>0</v>
      </c>
    </row>
    <row r="146" spans="1:19" ht="10.9" customHeight="1" x14ac:dyDescent="0.2">
      <c r="F146" s="12" t="s">
        <v>149</v>
      </c>
      <c r="G146" s="5">
        <v>0</v>
      </c>
      <c r="H146" s="5">
        <v>0</v>
      </c>
      <c r="I146" s="5">
        <v>62278698</v>
      </c>
      <c r="J146" s="5">
        <v>0</v>
      </c>
      <c r="K146" s="5">
        <v>0</v>
      </c>
      <c r="L146" s="5">
        <v>0</v>
      </c>
      <c r="M146" s="5">
        <v>5198086.5</v>
      </c>
      <c r="N146" s="5">
        <v>0</v>
      </c>
      <c r="O146" s="5">
        <v>1488225</v>
      </c>
      <c r="P146" s="5">
        <v>6364725</v>
      </c>
      <c r="Q146" s="5">
        <v>0</v>
      </c>
      <c r="R146" s="5">
        <v>0</v>
      </c>
      <c r="S146" s="5">
        <v>0</v>
      </c>
    </row>
    <row r="147" spans="1:19" ht="10.9" customHeight="1" x14ac:dyDescent="0.2">
      <c r="F147" s="12" t="s">
        <v>150</v>
      </c>
      <c r="G147" s="5">
        <v>0</v>
      </c>
      <c r="H147" s="5">
        <v>0</v>
      </c>
      <c r="I147" s="5">
        <v>0</v>
      </c>
      <c r="J147" s="5">
        <v>0</v>
      </c>
      <c r="K147" s="5">
        <v>0</v>
      </c>
      <c r="L147" s="5">
        <v>0</v>
      </c>
      <c r="M147" s="5">
        <v>0</v>
      </c>
      <c r="N147" s="5">
        <v>0</v>
      </c>
      <c r="O147" s="5">
        <v>0</v>
      </c>
      <c r="P147" s="5">
        <v>0</v>
      </c>
      <c r="Q147" s="5">
        <v>136500</v>
      </c>
      <c r="R147" s="5">
        <v>0</v>
      </c>
      <c r="S147" s="5">
        <v>0</v>
      </c>
    </row>
    <row r="148" spans="1:19" ht="10.9" customHeight="1" x14ac:dyDescent="0.2">
      <c r="F148" s="12" t="s">
        <v>151</v>
      </c>
      <c r="G148" s="5">
        <v>148525.5</v>
      </c>
      <c r="H148" s="5">
        <v>340852.5</v>
      </c>
      <c r="I148" s="5">
        <v>0</v>
      </c>
      <c r="J148" s="5">
        <v>0</v>
      </c>
      <c r="K148" s="5">
        <v>0</v>
      </c>
      <c r="L148" s="5">
        <v>517601.25</v>
      </c>
      <c r="M148" s="5">
        <v>1004748.375</v>
      </c>
      <c r="N148" s="5">
        <v>650715</v>
      </c>
      <c r="O148" s="5">
        <v>259575</v>
      </c>
      <c r="P148" s="5">
        <v>869895</v>
      </c>
      <c r="Q148" s="5">
        <v>165847.5</v>
      </c>
      <c r="R148" s="5">
        <v>331695</v>
      </c>
      <c r="S148" s="5">
        <v>552825</v>
      </c>
    </row>
    <row r="149" spans="1:19" ht="10.9" customHeight="1" x14ac:dyDescent="0.2">
      <c r="F149" s="12" t="s">
        <v>152</v>
      </c>
      <c r="G149" s="5">
        <v>3656756.25</v>
      </c>
      <c r="H149" s="5">
        <v>4161258.75</v>
      </c>
      <c r="I149" s="5">
        <v>3855315</v>
      </c>
      <c r="J149" s="5">
        <v>3855997.8000000003</v>
      </c>
      <c r="K149" s="5">
        <v>6496429.7250000006</v>
      </c>
      <c r="L149" s="5">
        <v>4106285.1450000005</v>
      </c>
      <c r="M149" s="5">
        <v>4190987.4749999996</v>
      </c>
      <c r="N149" s="5">
        <v>6017297.2199999997</v>
      </c>
      <c r="O149" s="5">
        <v>5905421.3249999993</v>
      </c>
      <c r="P149" s="5">
        <v>5276201.1750000007</v>
      </c>
      <c r="Q149" s="5">
        <v>4179523.9499999997</v>
      </c>
      <c r="R149" s="5">
        <v>3528642.8249999997</v>
      </c>
      <c r="S149" s="5">
        <v>3789756.4499999997</v>
      </c>
    </row>
    <row r="150" spans="1:19" ht="10.9" customHeight="1" x14ac:dyDescent="0.2">
      <c r="F150" s="12" t="s">
        <v>153</v>
      </c>
      <c r="G150" s="5">
        <v>0</v>
      </c>
      <c r="H150" s="5">
        <v>0</v>
      </c>
      <c r="I150" s="5">
        <v>0</v>
      </c>
      <c r="J150" s="5">
        <v>0</v>
      </c>
      <c r="K150" s="5">
        <v>0</v>
      </c>
      <c r="L150" s="5">
        <v>0</v>
      </c>
      <c r="M150" s="5">
        <v>0</v>
      </c>
      <c r="N150" s="5">
        <v>0</v>
      </c>
      <c r="O150" s="5">
        <v>0</v>
      </c>
      <c r="P150" s="5">
        <v>771187.125</v>
      </c>
      <c r="Q150" s="5">
        <v>474322.5</v>
      </c>
      <c r="R150" s="5">
        <v>0</v>
      </c>
      <c r="S150" s="5">
        <v>0</v>
      </c>
    </row>
    <row r="151" spans="1:19" ht="10.9" customHeight="1" x14ac:dyDescent="0.2">
      <c r="F151" s="12" t="s">
        <v>154</v>
      </c>
      <c r="G151" s="5">
        <v>0</v>
      </c>
      <c r="H151" s="5">
        <v>0</v>
      </c>
      <c r="I151" s="5">
        <v>0</v>
      </c>
      <c r="J151" s="5">
        <v>2812500</v>
      </c>
      <c r="K151" s="5">
        <v>2812500</v>
      </c>
      <c r="L151" s="5">
        <v>2812500</v>
      </c>
      <c r="M151" s="5">
        <v>2812500</v>
      </c>
      <c r="N151" s="5">
        <v>2812500</v>
      </c>
      <c r="O151" s="5">
        <v>2812500</v>
      </c>
      <c r="P151" s="5">
        <v>2812500</v>
      </c>
      <c r="Q151" s="5">
        <v>14062500</v>
      </c>
      <c r="R151" s="5">
        <v>0</v>
      </c>
      <c r="S151" s="5">
        <v>0</v>
      </c>
    </row>
    <row r="152" spans="1:19" ht="10.9" customHeight="1" x14ac:dyDescent="0.2">
      <c r="F152" s="13" t="s">
        <v>155</v>
      </c>
      <c r="G152" s="17">
        <f t="shared" ref="G152:S152" si="25">SUM(G140:G151)</f>
        <v>5865522.75</v>
      </c>
      <c r="H152" s="17">
        <f t="shared" si="25"/>
        <v>6170156.25</v>
      </c>
      <c r="I152" s="17">
        <f t="shared" si="25"/>
        <v>66792981.75</v>
      </c>
      <c r="J152" s="17">
        <f t="shared" si="25"/>
        <v>6682067.5500000007</v>
      </c>
      <c r="K152" s="17">
        <f t="shared" si="25"/>
        <v>9993709.7250000015</v>
      </c>
      <c r="L152" s="17">
        <f t="shared" si="25"/>
        <v>7631093.8950000005</v>
      </c>
      <c r="M152" s="17">
        <f t="shared" si="25"/>
        <v>25214308.799999997</v>
      </c>
      <c r="N152" s="17">
        <f t="shared" si="25"/>
        <v>9644762.2199999988</v>
      </c>
      <c r="O152" s="17">
        <f t="shared" si="25"/>
        <v>15607403.324999999</v>
      </c>
      <c r="P152" s="17">
        <f t="shared" si="25"/>
        <v>16971498.300000001</v>
      </c>
      <c r="Q152" s="17">
        <f t="shared" si="25"/>
        <v>20696218.949999999</v>
      </c>
      <c r="R152" s="17">
        <f t="shared" si="25"/>
        <v>6072065.3249999993</v>
      </c>
      <c r="S152" s="17">
        <f t="shared" si="25"/>
        <v>8307966.4499999993</v>
      </c>
    </row>
    <row r="153" spans="1:19" ht="10.9" customHeight="1" x14ac:dyDescent="0.2">
      <c r="A153" s="11"/>
      <c r="B153" s="11"/>
      <c r="C153" s="11"/>
      <c r="D153" s="11"/>
      <c r="E153" s="11"/>
      <c r="F153" s="11" t="s">
        <v>156</v>
      </c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</row>
    <row r="154" spans="1:19" ht="10.9" customHeight="1" x14ac:dyDescent="0.2">
      <c r="F154" s="12" t="s">
        <v>157</v>
      </c>
      <c r="G154" s="5">
        <v>1670704.0649999999</v>
      </c>
      <c r="H154" s="5">
        <v>1049415.7575000001</v>
      </c>
      <c r="I154" s="5">
        <v>1514367.2324999999</v>
      </c>
      <c r="J154" s="5">
        <v>3102071.8875000002</v>
      </c>
      <c r="K154" s="5">
        <v>1486636.9650000001</v>
      </c>
      <c r="L154" s="5">
        <v>899909.14500000002</v>
      </c>
      <c r="M154" s="5">
        <v>1327949.4975000001</v>
      </c>
      <c r="N154" s="5">
        <v>1096030.2374999998</v>
      </c>
      <c r="O154" s="5">
        <v>523164.26249999995</v>
      </c>
      <c r="P154" s="5">
        <v>1216065.8624999998</v>
      </c>
      <c r="Q154" s="5">
        <v>866668.39500000002</v>
      </c>
      <c r="R154" s="5">
        <v>921129.25500000012</v>
      </c>
      <c r="S154" s="5">
        <v>443083.68</v>
      </c>
    </row>
    <row r="155" spans="1:19" ht="10.9" customHeight="1" x14ac:dyDescent="0.2">
      <c r="F155" s="12" t="s">
        <v>158</v>
      </c>
      <c r="G155" s="5">
        <v>-224226.03749999998</v>
      </c>
      <c r="H155" s="5">
        <v>694.34999999999991</v>
      </c>
      <c r="I155" s="5">
        <v>-105813.19500000001</v>
      </c>
      <c r="J155" s="5">
        <v>908704.80749999988</v>
      </c>
      <c r="K155" s="5">
        <v>339476.67749999999</v>
      </c>
      <c r="L155" s="5">
        <v>786295.65749999997</v>
      </c>
      <c r="M155" s="5">
        <v>-447372.59250000003</v>
      </c>
      <c r="N155" s="5">
        <v>473041.88250000001</v>
      </c>
      <c r="O155" s="5">
        <v>82142.572499999995</v>
      </c>
      <c r="P155" s="5">
        <v>575973.48750000005</v>
      </c>
      <c r="Q155" s="5">
        <v>4825667.3025000002</v>
      </c>
      <c r="R155" s="5">
        <v>43556.332500000004</v>
      </c>
      <c r="S155" s="5">
        <v>105635.35500000001</v>
      </c>
    </row>
    <row r="156" spans="1:19" ht="10.9" customHeight="1" x14ac:dyDescent="0.2">
      <c r="F156" s="12" t="s">
        <v>159</v>
      </c>
      <c r="G156" s="5">
        <v>4125000</v>
      </c>
      <c r="H156" s="5">
        <v>8250000</v>
      </c>
      <c r="I156" s="5">
        <v>16500000</v>
      </c>
      <c r="J156" s="5">
        <v>103026405.315</v>
      </c>
      <c r="K156" s="5">
        <v>0</v>
      </c>
      <c r="L156" s="5">
        <v>0</v>
      </c>
      <c r="M156" s="5">
        <v>4125000</v>
      </c>
      <c r="N156" s="5">
        <v>4125000</v>
      </c>
      <c r="O156" s="5">
        <v>4125000</v>
      </c>
      <c r="P156" s="5">
        <v>0</v>
      </c>
      <c r="Q156" s="5">
        <v>0</v>
      </c>
      <c r="R156" s="5">
        <v>-4209183.75</v>
      </c>
      <c r="S156" s="5">
        <v>0</v>
      </c>
    </row>
    <row r="157" spans="1:19" ht="10.9" customHeight="1" x14ac:dyDescent="0.2">
      <c r="F157" s="12" t="s">
        <v>160</v>
      </c>
      <c r="G157" s="5">
        <v>13101536.25</v>
      </c>
      <c r="H157" s="5">
        <v>17539294.5</v>
      </c>
      <c r="I157" s="5">
        <v>14683473.75</v>
      </c>
      <c r="J157" s="5">
        <v>12371622.75</v>
      </c>
      <c r="K157" s="5">
        <v>15523720.5</v>
      </c>
      <c r="L157" s="5">
        <v>26344759.5</v>
      </c>
      <c r="M157" s="5">
        <v>24474669.375</v>
      </c>
      <c r="N157" s="5">
        <v>38852133.412499994</v>
      </c>
      <c r="O157" s="5">
        <v>26377676.25</v>
      </c>
      <c r="P157" s="5">
        <v>13685960.25</v>
      </c>
      <c r="Q157" s="5">
        <v>12766051.9725</v>
      </c>
      <c r="R157" s="5">
        <v>12578855.625</v>
      </c>
      <c r="S157" s="5">
        <v>9386631</v>
      </c>
    </row>
    <row r="158" spans="1:19" ht="10.9" customHeight="1" x14ac:dyDescent="0.2">
      <c r="F158" s="12" t="s">
        <v>161</v>
      </c>
      <c r="G158" s="5">
        <v>0</v>
      </c>
      <c r="H158" s="5">
        <v>0</v>
      </c>
      <c r="I158" s="5">
        <v>0</v>
      </c>
      <c r="J158" s="5">
        <v>0</v>
      </c>
      <c r="K158" s="5">
        <v>0</v>
      </c>
      <c r="L158" s="5">
        <v>0</v>
      </c>
      <c r="M158" s="5">
        <v>0</v>
      </c>
      <c r="N158" s="5">
        <v>487500</v>
      </c>
      <c r="O158" s="5">
        <v>0</v>
      </c>
      <c r="P158" s="5">
        <v>867375</v>
      </c>
      <c r="Q158" s="5">
        <v>675000</v>
      </c>
      <c r="R158" s="5">
        <v>0</v>
      </c>
      <c r="S158" s="5">
        <v>750000</v>
      </c>
    </row>
    <row r="159" spans="1:19" ht="10.9" customHeight="1" x14ac:dyDescent="0.2">
      <c r="F159" s="12" t="s">
        <v>162</v>
      </c>
      <c r="G159" s="5">
        <v>0</v>
      </c>
      <c r="H159" s="5">
        <v>0</v>
      </c>
      <c r="I159" s="5">
        <v>0</v>
      </c>
      <c r="J159" s="5">
        <v>0</v>
      </c>
      <c r="K159" s="5">
        <v>0</v>
      </c>
      <c r="L159" s="5">
        <v>0</v>
      </c>
      <c r="M159" s="5">
        <v>0</v>
      </c>
      <c r="N159" s="5">
        <v>0</v>
      </c>
      <c r="O159" s="5">
        <v>0</v>
      </c>
      <c r="P159" s="5">
        <v>1287641.25</v>
      </c>
      <c r="Q159" s="5">
        <v>378791.25</v>
      </c>
      <c r="R159" s="5">
        <v>0</v>
      </c>
      <c r="S159" s="5">
        <v>0</v>
      </c>
    </row>
    <row r="160" spans="1:19" ht="10.9" customHeight="1" x14ac:dyDescent="0.2">
      <c r="F160" s="12" t="s">
        <v>163</v>
      </c>
      <c r="G160" s="5">
        <v>4076856</v>
      </c>
      <c r="H160" s="5">
        <v>4076856</v>
      </c>
      <c r="I160" s="5">
        <v>4076856</v>
      </c>
      <c r="J160" s="5">
        <v>3984653.19</v>
      </c>
      <c r="K160" s="5">
        <v>3984653.19</v>
      </c>
      <c r="L160" s="5">
        <v>3984653.19</v>
      </c>
      <c r="M160" s="5">
        <v>3984653.19</v>
      </c>
      <c r="N160" s="5">
        <v>3984653.19</v>
      </c>
      <c r="O160" s="5">
        <v>3984653.19</v>
      </c>
      <c r="P160" s="5">
        <v>3984653.19</v>
      </c>
      <c r="Q160" s="5">
        <v>3984653.19</v>
      </c>
      <c r="R160" s="5">
        <v>3984653.19</v>
      </c>
      <c r="S160" s="5">
        <v>3984653.19</v>
      </c>
    </row>
    <row r="161" spans="1:19" ht="10.9" customHeight="1" x14ac:dyDescent="0.2">
      <c r="F161" s="12" t="s">
        <v>164</v>
      </c>
      <c r="G161" s="5">
        <v>0</v>
      </c>
      <c r="H161" s="5">
        <v>0</v>
      </c>
      <c r="I161" s="5">
        <v>21750</v>
      </c>
      <c r="J161" s="5">
        <v>0</v>
      </c>
      <c r="K161" s="5">
        <v>0</v>
      </c>
      <c r="L161" s="5">
        <v>0</v>
      </c>
      <c r="M161" s="5">
        <v>0</v>
      </c>
      <c r="N161" s="5">
        <v>0</v>
      </c>
      <c r="O161" s="5">
        <v>0</v>
      </c>
      <c r="P161" s="5">
        <v>0</v>
      </c>
      <c r="Q161" s="5">
        <v>0</v>
      </c>
      <c r="R161" s="5">
        <v>0</v>
      </c>
      <c r="S161" s="5">
        <v>0</v>
      </c>
    </row>
    <row r="162" spans="1:19" ht="10.9" customHeight="1" x14ac:dyDescent="0.2">
      <c r="F162" s="12" t="s">
        <v>165</v>
      </c>
      <c r="G162" s="5">
        <v>71250</v>
      </c>
      <c r="H162" s="5">
        <v>21000</v>
      </c>
      <c r="I162" s="5">
        <v>0</v>
      </c>
      <c r="J162" s="5">
        <v>0</v>
      </c>
      <c r="K162" s="5">
        <v>0</v>
      </c>
      <c r="L162" s="5">
        <v>562500</v>
      </c>
      <c r="M162" s="5">
        <v>0</v>
      </c>
      <c r="N162" s="5">
        <v>0</v>
      </c>
      <c r="O162" s="5">
        <v>0</v>
      </c>
      <c r="P162" s="5">
        <v>0</v>
      </c>
      <c r="Q162" s="5">
        <v>0</v>
      </c>
      <c r="R162" s="5">
        <v>10500</v>
      </c>
      <c r="S162" s="5">
        <v>10500</v>
      </c>
    </row>
    <row r="163" spans="1:19" ht="10.9" customHeight="1" x14ac:dyDescent="0.2">
      <c r="F163" s="12" t="s">
        <v>166</v>
      </c>
      <c r="G163" s="5">
        <v>309750</v>
      </c>
      <c r="H163" s="5">
        <v>325593.75</v>
      </c>
      <c r="I163" s="5">
        <v>416625</v>
      </c>
      <c r="J163" s="5">
        <v>386484.75</v>
      </c>
      <c r="K163" s="5">
        <v>288000</v>
      </c>
      <c r="L163" s="5">
        <v>997688.25</v>
      </c>
      <c r="M163" s="5">
        <v>437250</v>
      </c>
      <c r="N163" s="5">
        <v>725803.5</v>
      </c>
      <c r="O163" s="5">
        <v>828272.25</v>
      </c>
      <c r="P163" s="5">
        <v>601500</v>
      </c>
      <c r="Q163" s="5">
        <v>656484.75</v>
      </c>
      <c r="R163" s="5">
        <v>511593.75</v>
      </c>
      <c r="S163" s="5">
        <v>589500</v>
      </c>
    </row>
    <row r="164" spans="1:19" ht="10.9" customHeight="1" x14ac:dyDescent="0.2">
      <c r="F164" s="12" t="s">
        <v>167</v>
      </c>
      <c r="G164" s="5">
        <v>21000</v>
      </c>
      <c r="H164" s="5">
        <v>48750</v>
      </c>
      <c r="I164" s="5">
        <v>22500</v>
      </c>
      <c r="J164" s="5">
        <v>439500</v>
      </c>
      <c r="K164" s="5">
        <v>60000</v>
      </c>
      <c r="L164" s="5">
        <v>0</v>
      </c>
      <c r="M164" s="5">
        <v>0</v>
      </c>
      <c r="N164" s="5">
        <v>93000</v>
      </c>
      <c r="O164" s="5">
        <v>22500</v>
      </c>
      <c r="P164" s="5">
        <v>22500</v>
      </c>
      <c r="Q164" s="5">
        <v>25500</v>
      </c>
      <c r="R164" s="5">
        <v>22500</v>
      </c>
      <c r="S164" s="5">
        <v>46500</v>
      </c>
    </row>
    <row r="165" spans="1:19" ht="10.9" customHeight="1" x14ac:dyDescent="0.2">
      <c r="F165" s="12" t="s">
        <v>168</v>
      </c>
      <c r="G165" s="5">
        <v>326250</v>
      </c>
      <c r="H165" s="5">
        <v>300000</v>
      </c>
      <c r="I165" s="5">
        <v>375000</v>
      </c>
      <c r="J165" s="5">
        <v>300000</v>
      </c>
      <c r="K165" s="5">
        <v>525000</v>
      </c>
      <c r="L165" s="5">
        <v>150000</v>
      </c>
      <c r="M165" s="5">
        <v>307500</v>
      </c>
      <c r="N165" s="5">
        <v>375000</v>
      </c>
      <c r="O165" s="5">
        <v>300000</v>
      </c>
      <c r="P165" s="5">
        <v>300000</v>
      </c>
      <c r="Q165" s="5">
        <v>375000</v>
      </c>
      <c r="R165" s="5">
        <v>300000</v>
      </c>
      <c r="S165" s="5">
        <v>300000</v>
      </c>
    </row>
    <row r="166" spans="1:19" ht="10.9" customHeight="1" x14ac:dyDescent="0.2">
      <c r="F166" s="13" t="s">
        <v>169</v>
      </c>
      <c r="G166" s="17">
        <f t="shared" ref="G166:S166" si="26">SUM(G154:G165)</f>
        <v>23478120.2775</v>
      </c>
      <c r="H166" s="17">
        <f t="shared" si="26"/>
        <v>31611604.357500002</v>
      </c>
      <c r="I166" s="17">
        <f t="shared" si="26"/>
        <v>37504758.787500001</v>
      </c>
      <c r="J166" s="17">
        <f t="shared" si="26"/>
        <v>124519442.69999999</v>
      </c>
      <c r="K166" s="17">
        <f t="shared" si="26"/>
        <v>22207487.3325</v>
      </c>
      <c r="L166" s="17">
        <f t="shared" si="26"/>
        <v>33725805.7425</v>
      </c>
      <c r="M166" s="17">
        <f t="shared" si="26"/>
        <v>34209649.469999999</v>
      </c>
      <c r="N166" s="17">
        <f t="shared" si="26"/>
        <v>50212162.222499989</v>
      </c>
      <c r="O166" s="17">
        <f t="shared" si="26"/>
        <v>36243408.524999999</v>
      </c>
      <c r="P166" s="17">
        <f t="shared" si="26"/>
        <v>22541669.040000003</v>
      </c>
      <c r="Q166" s="17">
        <f t="shared" si="26"/>
        <v>24553816.860000003</v>
      </c>
      <c r="R166" s="17">
        <f t="shared" si="26"/>
        <v>14163604.4025</v>
      </c>
      <c r="S166" s="17">
        <f t="shared" si="26"/>
        <v>15616503.225</v>
      </c>
    </row>
    <row r="167" spans="1:19" ht="10.9" customHeight="1" x14ac:dyDescent="0.2">
      <c r="A167" s="11"/>
      <c r="B167" s="11"/>
      <c r="C167" s="11"/>
      <c r="D167" s="11"/>
      <c r="E167" s="11"/>
      <c r="F167" s="11" t="s">
        <v>170</v>
      </c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</row>
    <row r="168" spans="1:19" ht="10.9" customHeight="1" x14ac:dyDescent="0.2">
      <c r="F168" s="12" t="s">
        <v>171</v>
      </c>
      <c r="G168" s="5">
        <v>0</v>
      </c>
      <c r="H168" s="5">
        <v>0</v>
      </c>
      <c r="I168" s="5">
        <v>0</v>
      </c>
      <c r="J168" s="5">
        <v>0</v>
      </c>
      <c r="K168" s="5">
        <v>0</v>
      </c>
      <c r="L168" s="5">
        <v>0</v>
      </c>
      <c r="M168" s="5">
        <v>0</v>
      </c>
      <c r="N168" s="5">
        <v>0</v>
      </c>
      <c r="O168" s="5">
        <v>0</v>
      </c>
      <c r="P168" s="5">
        <v>0</v>
      </c>
      <c r="Q168" s="5">
        <v>0</v>
      </c>
      <c r="R168" s="5">
        <v>21750</v>
      </c>
      <c r="S168" s="5">
        <v>0</v>
      </c>
    </row>
    <row r="169" spans="1:19" ht="10.9" customHeight="1" x14ac:dyDescent="0.2">
      <c r="F169" s="12" t="s">
        <v>172</v>
      </c>
      <c r="G169" s="5">
        <v>0</v>
      </c>
      <c r="H169" s="5">
        <v>0</v>
      </c>
      <c r="I169" s="5">
        <v>0</v>
      </c>
      <c r="J169" s="5">
        <v>0</v>
      </c>
      <c r="K169" s="5">
        <v>0</v>
      </c>
      <c r="L169" s="5">
        <v>0</v>
      </c>
      <c r="M169" s="5">
        <v>10500</v>
      </c>
      <c r="N169" s="5">
        <v>0</v>
      </c>
      <c r="O169" s="5">
        <v>0</v>
      </c>
      <c r="P169" s="5">
        <v>57954</v>
      </c>
      <c r="Q169" s="5">
        <v>10500</v>
      </c>
      <c r="R169" s="5">
        <v>0</v>
      </c>
      <c r="S169" s="5">
        <v>8100</v>
      </c>
    </row>
    <row r="170" spans="1:19" ht="10.9" customHeight="1" x14ac:dyDescent="0.2">
      <c r="F170" s="12" t="s">
        <v>173</v>
      </c>
      <c r="G170" s="5">
        <v>0</v>
      </c>
      <c r="H170" s="5">
        <v>0</v>
      </c>
      <c r="I170" s="5">
        <v>0</v>
      </c>
      <c r="J170" s="5">
        <v>0</v>
      </c>
      <c r="K170" s="5">
        <v>0</v>
      </c>
      <c r="L170" s="5">
        <v>0</v>
      </c>
      <c r="M170" s="5">
        <v>0</v>
      </c>
      <c r="N170" s="5">
        <v>0</v>
      </c>
      <c r="O170" s="5">
        <v>0</v>
      </c>
      <c r="P170" s="5">
        <v>0</v>
      </c>
      <c r="Q170" s="5">
        <v>276412.5</v>
      </c>
      <c r="R170" s="5">
        <v>0</v>
      </c>
      <c r="S170" s="5">
        <v>0</v>
      </c>
    </row>
    <row r="171" spans="1:19" ht="10.9" customHeight="1" x14ac:dyDescent="0.2">
      <c r="F171" s="12" t="s">
        <v>174</v>
      </c>
      <c r="G171" s="5">
        <v>0</v>
      </c>
      <c r="H171" s="5">
        <v>0</v>
      </c>
      <c r="I171" s="5">
        <v>0</v>
      </c>
      <c r="J171" s="5">
        <v>0</v>
      </c>
      <c r="K171" s="5">
        <v>0</v>
      </c>
      <c r="L171" s="5">
        <v>0</v>
      </c>
      <c r="M171" s="5">
        <v>0</v>
      </c>
      <c r="N171" s="5">
        <v>0</v>
      </c>
      <c r="O171" s="5">
        <v>0</v>
      </c>
      <c r="P171" s="5">
        <v>369750</v>
      </c>
      <c r="Q171" s="5">
        <v>0</v>
      </c>
      <c r="R171" s="5">
        <v>0</v>
      </c>
      <c r="S171" s="5">
        <v>0</v>
      </c>
    </row>
    <row r="172" spans="1:19" ht="10.9" customHeight="1" x14ac:dyDescent="0.2">
      <c r="F172" s="12" t="s">
        <v>175</v>
      </c>
      <c r="G172" s="5">
        <v>0</v>
      </c>
      <c r="H172" s="5">
        <v>0</v>
      </c>
      <c r="I172" s="5">
        <v>52500</v>
      </c>
      <c r="J172" s="5">
        <v>9000</v>
      </c>
      <c r="K172" s="5">
        <v>22500</v>
      </c>
      <c r="L172" s="5">
        <v>46500</v>
      </c>
      <c r="M172" s="5">
        <v>45000</v>
      </c>
      <c r="N172" s="5">
        <v>45000</v>
      </c>
      <c r="O172" s="5">
        <v>18000</v>
      </c>
      <c r="P172" s="5">
        <v>36750</v>
      </c>
      <c r="Q172" s="5">
        <v>22500</v>
      </c>
      <c r="R172" s="5">
        <v>22500</v>
      </c>
      <c r="S172" s="5">
        <v>0</v>
      </c>
    </row>
    <row r="173" spans="1:19" ht="10.9" customHeight="1" x14ac:dyDescent="0.2">
      <c r="F173" s="12" t="s">
        <v>176</v>
      </c>
      <c r="G173" s="5">
        <v>3750000</v>
      </c>
      <c r="H173" s="5">
        <v>186131.25</v>
      </c>
      <c r="I173" s="5">
        <v>0</v>
      </c>
      <c r="J173" s="5">
        <v>0</v>
      </c>
      <c r="K173" s="5">
        <v>582037.5</v>
      </c>
      <c r="L173" s="5">
        <v>1062183.75</v>
      </c>
      <c r="M173" s="5">
        <v>370512</v>
      </c>
      <c r="N173" s="5">
        <v>0</v>
      </c>
      <c r="O173" s="5">
        <v>0</v>
      </c>
      <c r="P173" s="5">
        <v>99911.25</v>
      </c>
      <c r="Q173" s="5">
        <v>646155</v>
      </c>
      <c r="R173" s="5">
        <v>296310</v>
      </c>
      <c r="S173" s="5">
        <v>0</v>
      </c>
    </row>
    <row r="174" spans="1:19" ht="10.9" customHeight="1" x14ac:dyDescent="0.2">
      <c r="F174" s="13" t="s">
        <v>177</v>
      </c>
      <c r="G174" s="17">
        <f t="shared" ref="G174:S174" si="27">SUM(G168:G173)</f>
        <v>3750000</v>
      </c>
      <c r="H174" s="17">
        <f t="shared" si="27"/>
        <v>186131.25</v>
      </c>
      <c r="I174" s="17">
        <f t="shared" si="27"/>
        <v>52500</v>
      </c>
      <c r="J174" s="17">
        <f t="shared" si="27"/>
        <v>9000</v>
      </c>
      <c r="K174" s="17">
        <f t="shared" si="27"/>
        <v>604537.5</v>
      </c>
      <c r="L174" s="17">
        <f t="shared" si="27"/>
        <v>1108683.75</v>
      </c>
      <c r="M174" s="17">
        <f t="shared" si="27"/>
        <v>426012</v>
      </c>
      <c r="N174" s="17">
        <f t="shared" si="27"/>
        <v>45000</v>
      </c>
      <c r="O174" s="17">
        <f t="shared" si="27"/>
        <v>18000</v>
      </c>
      <c r="P174" s="17">
        <f t="shared" si="27"/>
        <v>564365.25</v>
      </c>
      <c r="Q174" s="17">
        <f t="shared" si="27"/>
        <v>955567.5</v>
      </c>
      <c r="R174" s="17">
        <f t="shared" si="27"/>
        <v>340560</v>
      </c>
      <c r="S174" s="17">
        <f t="shared" si="27"/>
        <v>8100</v>
      </c>
    </row>
    <row r="175" spans="1:19" ht="10.9" customHeight="1" x14ac:dyDescent="0.2">
      <c r="A175" s="11"/>
      <c r="B175" s="11"/>
      <c r="C175" s="11"/>
      <c r="D175" s="11"/>
      <c r="E175" s="11"/>
      <c r="F175" s="11" t="s">
        <v>178</v>
      </c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</row>
    <row r="176" spans="1:19" ht="10.9" customHeight="1" x14ac:dyDescent="0.2">
      <c r="F176" s="12" t="s">
        <v>179</v>
      </c>
      <c r="G176" s="5">
        <v>0</v>
      </c>
      <c r="H176" s="5">
        <v>1539337.5</v>
      </c>
      <c r="I176" s="5">
        <v>335052</v>
      </c>
      <c r="J176" s="5">
        <v>0</v>
      </c>
      <c r="K176" s="5">
        <v>107250</v>
      </c>
      <c r="L176" s="5">
        <v>409838.25</v>
      </c>
      <c r="M176" s="5">
        <v>47400</v>
      </c>
      <c r="N176" s="5">
        <v>332625</v>
      </c>
      <c r="O176" s="5">
        <v>1367035.7175</v>
      </c>
      <c r="P176" s="5">
        <v>0</v>
      </c>
      <c r="Q176" s="5">
        <v>0</v>
      </c>
      <c r="R176" s="5">
        <v>0</v>
      </c>
      <c r="S176" s="5">
        <v>1066500</v>
      </c>
    </row>
    <row r="177" spans="1:19" ht="10.9" customHeight="1" x14ac:dyDescent="0.2">
      <c r="F177" s="12" t="s">
        <v>180</v>
      </c>
      <c r="G177" s="5">
        <v>0</v>
      </c>
      <c r="H177" s="5">
        <v>90000</v>
      </c>
      <c r="I177" s="5">
        <v>0</v>
      </c>
      <c r="J177" s="5">
        <v>0</v>
      </c>
      <c r="K177" s="5">
        <v>0</v>
      </c>
      <c r="L177" s="5">
        <v>40734.75</v>
      </c>
      <c r="M177" s="5">
        <v>48750</v>
      </c>
      <c r="N177" s="5">
        <v>0</v>
      </c>
      <c r="O177" s="5">
        <v>0</v>
      </c>
      <c r="P177" s="5">
        <v>0</v>
      </c>
      <c r="Q177" s="5">
        <v>0</v>
      </c>
      <c r="R177" s="5">
        <v>33750</v>
      </c>
      <c r="S177" s="5">
        <v>0</v>
      </c>
    </row>
    <row r="178" spans="1:19" ht="10.9" customHeight="1" x14ac:dyDescent="0.2">
      <c r="F178" s="12" t="s">
        <v>181</v>
      </c>
      <c r="G178" s="5">
        <v>0</v>
      </c>
      <c r="H178" s="5">
        <v>0</v>
      </c>
      <c r="I178" s="5">
        <v>0</v>
      </c>
      <c r="J178" s="5">
        <v>0</v>
      </c>
      <c r="K178" s="5">
        <v>0</v>
      </c>
      <c r="L178" s="5">
        <v>0</v>
      </c>
      <c r="M178" s="5">
        <v>0</v>
      </c>
      <c r="N178" s="5">
        <v>0</v>
      </c>
      <c r="O178" s="5">
        <v>0</v>
      </c>
      <c r="P178" s="5">
        <v>0</v>
      </c>
      <c r="Q178" s="5">
        <v>0</v>
      </c>
      <c r="R178" s="5">
        <v>0</v>
      </c>
      <c r="S178" s="5">
        <v>79125</v>
      </c>
    </row>
    <row r="179" spans="1:19" ht="10.9" customHeight="1" x14ac:dyDescent="0.2">
      <c r="F179" s="12" t="s">
        <v>182</v>
      </c>
      <c r="G179" s="5">
        <v>0</v>
      </c>
      <c r="H179" s="5">
        <v>0</v>
      </c>
      <c r="I179" s="5">
        <v>0</v>
      </c>
      <c r="J179" s="5">
        <v>0</v>
      </c>
      <c r="K179" s="5">
        <v>187500</v>
      </c>
      <c r="L179" s="5">
        <v>0</v>
      </c>
      <c r="M179" s="5">
        <v>0</v>
      </c>
      <c r="N179" s="5">
        <v>0</v>
      </c>
      <c r="O179" s="5">
        <v>0</v>
      </c>
      <c r="P179" s="5">
        <v>37500</v>
      </c>
      <c r="Q179" s="5">
        <v>0</v>
      </c>
      <c r="R179" s="5">
        <v>42750</v>
      </c>
      <c r="S179" s="5">
        <v>0</v>
      </c>
    </row>
    <row r="180" spans="1:19" ht="10.9" customHeight="1" x14ac:dyDescent="0.2">
      <c r="F180" s="12" t="s">
        <v>183</v>
      </c>
      <c r="G180" s="5">
        <v>0</v>
      </c>
      <c r="H180" s="5">
        <v>0</v>
      </c>
      <c r="I180" s="5">
        <v>0</v>
      </c>
      <c r="J180" s="5">
        <v>0</v>
      </c>
      <c r="K180" s="5">
        <v>66250.005000000005</v>
      </c>
      <c r="L180" s="5">
        <v>562500</v>
      </c>
      <c r="M180" s="5">
        <v>1416060.75</v>
      </c>
      <c r="N180" s="5">
        <v>2047500</v>
      </c>
      <c r="O180" s="5">
        <v>1566750</v>
      </c>
      <c r="P180" s="5">
        <v>1044819</v>
      </c>
      <c r="Q180" s="5">
        <v>313875</v>
      </c>
      <c r="R180" s="5">
        <v>501075</v>
      </c>
      <c r="S180" s="5">
        <v>781875</v>
      </c>
    </row>
    <row r="181" spans="1:19" ht="10.9" customHeight="1" x14ac:dyDescent="0.2">
      <c r="F181" s="12" t="s">
        <v>184</v>
      </c>
      <c r="G181" s="5">
        <v>27322844.25</v>
      </c>
      <c r="H181" s="5">
        <v>27322844.25</v>
      </c>
      <c r="I181" s="5">
        <v>27322844.25</v>
      </c>
      <c r="J181" s="5">
        <v>30304971</v>
      </c>
      <c r="K181" s="5">
        <v>16305238.5</v>
      </c>
      <c r="L181" s="5">
        <v>11435969.25</v>
      </c>
      <c r="M181" s="5">
        <v>11519120.962499999</v>
      </c>
      <c r="N181" s="5">
        <v>10873469.25</v>
      </c>
      <c r="O181" s="5">
        <v>11124806.6325</v>
      </c>
      <c r="P181" s="5">
        <v>10751579.084999999</v>
      </c>
      <c r="Q181" s="5">
        <v>10149704.084999999</v>
      </c>
      <c r="R181" s="5">
        <v>10149704.084999999</v>
      </c>
      <c r="S181" s="5">
        <v>10149704.084999999</v>
      </c>
    </row>
    <row r="182" spans="1:19" ht="10.9" customHeight="1" x14ac:dyDescent="0.2">
      <c r="F182" s="13" t="s">
        <v>185</v>
      </c>
      <c r="G182" s="17">
        <f t="shared" ref="G182:S182" si="28">SUM(G176:G181)</f>
        <v>27322844.25</v>
      </c>
      <c r="H182" s="17">
        <f t="shared" si="28"/>
        <v>28952181.75</v>
      </c>
      <c r="I182" s="17">
        <f t="shared" si="28"/>
        <v>27657896.25</v>
      </c>
      <c r="J182" s="17">
        <f t="shared" si="28"/>
        <v>30304971</v>
      </c>
      <c r="K182" s="17">
        <f t="shared" si="28"/>
        <v>16666238.505000001</v>
      </c>
      <c r="L182" s="17">
        <f t="shared" si="28"/>
        <v>12449042.25</v>
      </c>
      <c r="M182" s="17">
        <f t="shared" si="28"/>
        <v>13031331.712499999</v>
      </c>
      <c r="N182" s="17">
        <f t="shared" si="28"/>
        <v>13253594.25</v>
      </c>
      <c r="O182" s="17">
        <f t="shared" si="28"/>
        <v>14058592.350000001</v>
      </c>
      <c r="P182" s="17">
        <f t="shared" si="28"/>
        <v>11833898.084999999</v>
      </c>
      <c r="Q182" s="17">
        <f t="shared" si="28"/>
        <v>10463579.084999999</v>
      </c>
      <c r="R182" s="17">
        <f t="shared" si="28"/>
        <v>10727279.084999999</v>
      </c>
      <c r="S182" s="17">
        <f t="shared" si="28"/>
        <v>12077204.084999999</v>
      </c>
    </row>
    <row r="183" spans="1:19" ht="10.9" customHeight="1" x14ac:dyDescent="0.2">
      <c r="E183" s="13" t="s">
        <v>155</v>
      </c>
      <c r="G183" s="17">
        <f t="shared" ref="G183:S183" si="29">(0 + (((G152 + G166) + G174) + G182))</f>
        <v>60416487.277500004</v>
      </c>
      <c r="H183" s="17">
        <f t="shared" si="29"/>
        <v>66920073.607500002</v>
      </c>
      <c r="I183" s="17">
        <f t="shared" si="29"/>
        <v>132008136.78749999</v>
      </c>
      <c r="J183" s="17">
        <f t="shared" si="29"/>
        <v>161515481.25</v>
      </c>
      <c r="K183" s="17">
        <f t="shared" si="29"/>
        <v>49471973.0625</v>
      </c>
      <c r="L183" s="17">
        <f t="shared" si="29"/>
        <v>54914625.637500003</v>
      </c>
      <c r="M183" s="17">
        <f t="shared" si="29"/>
        <v>72881301.982499987</v>
      </c>
      <c r="N183" s="17">
        <f t="shared" si="29"/>
        <v>73155518.692499995</v>
      </c>
      <c r="O183" s="17">
        <f t="shared" si="29"/>
        <v>65927404.199999996</v>
      </c>
      <c r="P183" s="17">
        <f t="shared" si="29"/>
        <v>51911430.675000004</v>
      </c>
      <c r="Q183" s="17">
        <f t="shared" si="29"/>
        <v>56669182.395000003</v>
      </c>
      <c r="R183" s="17">
        <f t="shared" si="29"/>
        <v>31303508.8125</v>
      </c>
      <c r="S183" s="17">
        <f t="shared" si="29"/>
        <v>36009773.759999998</v>
      </c>
    </row>
    <row r="184" spans="1:19" ht="10.9" customHeight="1" x14ac:dyDescent="0.2">
      <c r="A184" s="11"/>
      <c r="B184" s="11"/>
      <c r="C184" s="11"/>
      <c r="D184" s="11"/>
      <c r="E184" s="11" t="s">
        <v>186</v>
      </c>
      <c r="F184" s="11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</row>
    <row r="185" spans="1:19" ht="10.9" customHeight="1" x14ac:dyDescent="0.2">
      <c r="A185" s="11"/>
      <c r="B185" s="11"/>
      <c r="C185" s="11"/>
      <c r="D185" s="11"/>
      <c r="E185" s="11"/>
      <c r="F185" s="11" t="s">
        <v>187</v>
      </c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</row>
    <row r="186" spans="1:19" ht="10.9" customHeight="1" x14ac:dyDescent="0.2">
      <c r="F186" s="12" t="s">
        <v>188</v>
      </c>
      <c r="G186" s="5">
        <v>0</v>
      </c>
      <c r="H186" s="5">
        <v>1041303</v>
      </c>
      <c r="I186" s="5">
        <v>0</v>
      </c>
      <c r="J186" s="5">
        <v>0</v>
      </c>
      <c r="K186" s="5">
        <v>0</v>
      </c>
      <c r="L186" s="5">
        <v>0</v>
      </c>
      <c r="M186" s="5">
        <v>0</v>
      </c>
      <c r="N186" s="5">
        <v>371000.0025</v>
      </c>
      <c r="O186" s="5">
        <v>0</v>
      </c>
      <c r="P186" s="5">
        <v>3135145.5</v>
      </c>
      <c r="Q186" s="5">
        <v>1893750</v>
      </c>
      <c r="R186" s="5">
        <v>0</v>
      </c>
      <c r="S186" s="5">
        <v>506250</v>
      </c>
    </row>
    <row r="187" spans="1:19" ht="10.9" customHeight="1" x14ac:dyDescent="0.2">
      <c r="F187" s="12" t="s">
        <v>189</v>
      </c>
      <c r="G187" s="5">
        <v>5088555.75</v>
      </c>
      <c r="H187" s="5">
        <v>13298148.75</v>
      </c>
      <c r="I187" s="5">
        <v>5146665.75</v>
      </c>
      <c r="J187" s="5">
        <v>5121012</v>
      </c>
      <c r="K187" s="5">
        <v>11780362.252499999</v>
      </c>
      <c r="L187" s="5">
        <v>24100677.375</v>
      </c>
      <c r="M187" s="5">
        <v>19977109.747499999</v>
      </c>
      <c r="N187" s="5">
        <v>10661794.5</v>
      </c>
      <c r="O187" s="5">
        <v>24137289.262500003</v>
      </c>
      <c r="P187" s="5">
        <v>6973878</v>
      </c>
      <c r="Q187" s="5">
        <v>2541760.5</v>
      </c>
      <c r="R187" s="5">
        <v>3601584.75</v>
      </c>
      <c r="S187" s="5">
        <v>3222367.5</v>
      </c>
    </row>
    <row r="188" spans="1:19" ht="10.9" customHeight="1" x14ac:dyDescent="0.2">
      <c r="F188" s="12" t="s">
        <v>190</v>
      </c>
      <c r="G188" s="5">
        <v>2655000</v>
      </c>
      <c r="H188" s="5">
        <v>0</v>
      </c>
      <c r="I188" s="5">
        <v>0</v>
      </c>
      <c r="J188" s="5">
        <v>0</v>
      </c>
      <c r="K188" s="5">
        <v>0</v>
      </c>
      <c r="L188" s="5">
        <v>0</v>
      </c>
      <c r="M188" s="5">
        <v>0</v>
      </c>
      <c r="N188" s="5">
        <v>0</v>
      </c>
      <c r="O188" s="5">
        <v>0</v>
      </c>
      <c r="P188" s="5">
        <v>0</v>
      </c>
      <c r="Q188" s="5">
        <v>0</v>
      </c>
      <c r="R188" s="5">
        <v>0</v>
      </c>
      <c r="S188" s="5">
        <v>0</v>
      </c>
    </row>
    <row r="189" spans="1:19" ht="10.9" customHeight="1" x14ac:dyDescent="0.2">
      <c r="F189" s="12" t="s">
        <v>191</v>
      </c>
      <c r="G189" s="5">
        <v>0</v>
      </c>
      <c r="H189" s="5">
        <v>0</v>
      </c>
      <c r="I189" s="5">
        <v>225000</v>
      </c>
      <c r="J189" s="5">
        <v>0</v>
      </c>
      <c r="K189" s="5">
        <v>0</v>
      </c>
      <c r="L189" s="5">
        <v>0</v>
      </c>
      <c r="M189" s="5">
        <v>0</v>
      </c>
      <c r="N189" s="5">
        <v>0</v>
      </c>
      <c r="O189" s="5">
        <v>0</v>
      </c>
      <c r="P189" s="5">
        <v>0</v>
      </c>
      <c r="Q189" s="5">
        <v>0</v>
      </c>
      <c r="R189" s="5">
        <v>0</v>
      </c>
      <c r="S189" s="5">
        <v>0</v>
      </c>
    </row>
    <row r="190" spans="1:19" ht="10.9" customHeight="1" x14ac:dyDescent="0.2">
      <c r="F190" s="12" t="s">
        <v>192</v>
      </c>
      <c r="G190" s="5">
        <v>493884.75</v>
      </c>
      <c r="H190" s="5">
        <v>243009.75</v>
      </c>
      <c r="I190" s="5">
        <v>179822.25</v>
      </c>
      <c r="J190" s="5">
        <v>104597.25</v>
      </c>
      <c r="K190" s="5">
        <v>146175.75</v>
      </c>
      <c r="L190" s="5">
        <v>437757.75</v>
      </c>
      <c r="M190" s="5">
        <v>153188.25</v>
      </c>
      <c r="N190" s="5">
        <v>251298</v>
      </c>
      <c r="O190" s="5">
        <v>185814</v>
      </c>
      <c r="P190" s="5">
        <v>212400.75</v>
      </c>
      <c r="Q190" s="5">
        <v>206476.5</v>
      </c>
      <c r="R190" s="5">
        <v>167812.5</v>
      </c>
      <c r="S190" s="5">
        <v>122343.75</v>
      </c>
    </row>
    <row r="191" spans="1:19" ht="10.9" customHeight="1" x14ac:dyDescent="0.2">
      <c r="F191" s="12" t="s">
        <v>193</v>
      </c>
      <c r="G191" s="5">
        <v>1427500.0050000001</v>
      </c>
      <c r="H191" s="5">
        <v>1306875</v>
      </c>
      <c r="I191" s="5">
        <v>0</v>
      </c>
      <c r="J191" s="5">
        <v>0</v>
      </c>
      <c r="K191" s="5">
        <v>0</v>
      </c>
      <c r="L191" s="5">
        <v>0</v>
      </c>
      <c r="M191" s="5">
        <v>0</v>
      </c>
      <c r="N191" s="5">
        <v>0</v>
      </c>
      <c r="O191" s="5">
        <v>273000</v>
      </c>
      <c r="P191" s="5">
        <v>0</v>
      </c>
      <c r="Q191" s="5">
        <v>0</v>
      </c>
      <c r="R191" s="5">
        <v>4177500</v>
      </c>
      <c r="S191" s="5">
        <v>0</v>
      </c>
    </row>
    <row r="192" spans="1:19" ht="10.9" customHeight="1" x14ac:dyDescent="0.2">
      <c r="F192" s="13" t="s">
        <v>194</v>
      </c>
      <c r="G192" s="17">
        <f t="shared" ref="G192:S192" si="30">SUM(G186:G191)</f>
        <v>9664940.5050000008</v>
      </c>
      <c r="H192" s="17">
        <f t="shared" si="30"/>
        <v>15889336.5</v>
      </c>
      <c r="I192" s="17">
        <f t="shared" si="30"/>
        <v>5551488</v>
      </c>
      <c r="J192" s="17">
        <f t="shared" si="30"/>
        <v>5225609.25</v>
      </c>
      <c r="K192" s="17">
        <f t="shared" si="30"/>
        <v>11926538.002499999</v>
      </c>
      <c r="L192" s="17">
        <f t="shared" si="30"/>
        <v>24538435.125</v>
      </c>
      <c r="M192" s="17">
        <f t="shared" si="30"/>
        <v>20130297.997499999</v>
      </c>
      <c r="N192" s="17">
        <f t="shared" si="30"/>
        <v>11284092.502499999</v>
      </c>
      <c r="O192" s="17">
        <f t="shared" si="30"/>
        <v>24596103.262500003</v>
      </c>
      <c r="P192" s="17">
        <f t="shared" si="30"/>
        <v>10321424.25</v>
      </c>
      <c r="Q192" s="17">
        <f t="shared" si="30"/>
        <v>4641987</v>
      </c>
      <c r="R192" s="17">
        <f t="shared" si="30"/>
        <v>7946897.25</v>
      </c>
      <c r="S192" s="17">
        <f t="shared" si="30"/>
        <v>3850961.25</v>
      </c>
    </row>
    <row r="193" spans="1:19" ht="10.9" customHeight="1" x14ac:dyDescent="0.2">
      <c r="A193" s="11"/>
      <c r="B193" s="11"/>
      <c r="C193" s="11"/>
      <c r="D193" s="11"/>
      <c r="E193" s="11"/>
      <c r="F193" s="11" t="s">
        <v>195</v>
      </c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</row>
    <row r="194" spans="1:19" ht="10.9" customHeight="1" x14ac:dyDescent="0.2">
      <c r="F194" s="12" t="s">
        <v>196</v>
      </c>
      <c r="G194" s="5">
        <v>4950000</v>
      </c>
      <c r="H194" s="5">
        <v>2280000</v>
      </c>
      <c r="I194" s="5">
        <v>6600000</v>
      </c>
      <c r="J194" s="5">
        <v>3693750</v>
      </c>
      <c r="K194" s="5">
        <v>0</v>
      </c>
      <c r="L194" s="5">
        <v>9146250</v>
      </c>
      <c r="M194" s="5">
        <v>9037500</v>
      </c>
      <c r="N194" s="5">
        <v>7380000</v>
      </c>
      <c r="O194" s="5">
        <v>517500</v>
      </c>
      <c r="P194" s="5">
        <v>5966250</v>
      </c>
      <c r="Q194" s="5">
        <v>0</v>
      </c>
      <c r="R194" s="5">
        <v>7983750</v>
      </c>
      <c r="S194" s="5">
        <v>5737500</v>
      </c>
    </row>
    <row r="195" spans="1:19" ht="10.9" customHeight="1" x14ac:dyDescent="0.2">
      <c r="F195" s="12" t="s">
        <v>197</v>
      </c>
      <c r="G195" s="5">
        <v>0</v>
      </c>
      <c r="H195" s="5">
        <v>1779250.0049999999</v>
      </c>
      <c r="I195" s="5">
        <v>0</v>
      </c>
      <c r="J195" s="5">
        <v>0</v>
      </c>
      <c r="K195" s="5">
        <v>2459559.375</v>
      </c>
      <c r="L195" s="5">
        <v>0</v>
      </c>
      <c r="M195" s="5">
        <v>0</v>
      </c>
      <c r="N195" s="5">
        <v>0</v>
      </c>
      <c r="O195" s="5">
        <v>0</v>
      </c>
      <c r="P195" s="5">
        <v>2887500</v>
      </c>
      <c r="Q195" s="5">
        <v>0</v>
      </c>
      <c r="R195" s="5">
        <v>1305806.7449999999</v>
      </c>
      <c r="S195" s="5">
        <v>0</v>
      </c>
    </row>
    <row r="196" spans="1:19" ht="10.9" customHeight="1" x14ac:dyDescent="0.2">
      <c r="F196" s="12" t="s">
        <v>198</v>
      </c>
      <c r="G196" s="5">
        <v>0</v>
      </c>
      <c r="H196" s="5">
        <v>0</v>
      </c>
      <c r="I196" s="5">
        <v>0</v>
      </c>
      <c r="J196" s="5">
        <v>164625</v>
      </c>
      <c r="K196" s="5">
        <v>3394650</v>
      </c>
      <c r="L196" s="5">
        <v>937500</v>
      </c>
      <c r="M196" s="5">
        <v>1492800</v>
      </c>
      <c r="N196" s="5">
        <v>450000</v>
      </c>
      <c r="O196" s="5">
        <v>0</v>
      </c>
      <c r="P196" s="5">
        <v>0</v>
      </c>
      <c r="Q196" s="5">
        <v>0</v>
      </c>
      <c r="R196" s="5">
        <v>0</v>
      </c>
      <c r="S196" s="5">
        <v>0</v>
      </c>
    </row>
    <row r="197" spans="1:19" ht="10.9" customHeight="1" x14ac:dyDescent="0.2">
      <c r="F197" s="12" t="s">
        <v>199</v>
      </c>
      <c r="G197" s="5">
        <v>1426500</v>
      </c>
      <c r="H197" s="5">
        <v>2100000</v>
      </c>
      <c r="I197" s="5">
        <v>6059387.25</v>
      </c>
      <c r="J197" s="5">
        <v>0</v>
      </c>
      <c r="K197" s="5">
        <v>825000</v>
      </c>
      <c r="L197" s="5">
        <v>0</v>
      </c>
      <c r="M197" s="5">
        <v>0</v>
      </c>
      <c r="N197" s="5">
        <v>0</v>
      </c>
      <c r="O197" s="5">
        <v>0</v>
      </c>
      <c r="P197" s="5">
        <v>0</v>
      </c>
      <c r="Q197" s="5">
        <v>0</v>
      </c>
      <c r="R197" s="5">
        <v>378750</v>
      </c>
      <c r="S197" s="5">
        <v>345000</v>
      </c>
    </row>
    <row r="198" spans="1:19" ht="10.9" customHeight="1" x14ac:dyDescent="0.2">
      <c r="F198" s="12" t="s">
        <v>200</v>
      </c>
      <c r="G198" s="5">
        <v>482499.99749999994</v>
      </c>
      <c r="H198" s="5">
        <v>886875</v>
      </c>
      <c r="I198" s="5">
        <v>0</v>
      </c>
      <c r="J198" s="5">
        <v>0</v>
      </c>
      <c r="K198" s="5">
        <v>0</v>
      </c>
      <c r="L198" s="5">
        <v>0</v>
      </c>
      <c r="M198" s="5">
        <v>0</v>
      </c>
      <c r="N198" s="5">
        <v>0</v>
      </c>
      <c r="O198" s="5">
        <v>0</v>
      </c>
      <c r="P198" s="5">
        <v>0</v>
      </c>
      <c r="Q198" s="5">
        <v>0</v>
      </c>
      <c r="R198" s="5">
        <v>2977500</v>
      </c>
      <c r="S198" s="5">
        <v>0</v>
      </c>
    </row>
    <row r="199" spans="1:19" ht="10.9" customHeight="1" x14ac:dyDescent="0.2">
      <c r="F199" s="12" t="s">
        <v>201</v>
      </c>
      <c r="G199" s="5">
        <v>1512873</v>
      </c>
      <c r="H199" s="5">
        <v>1102062</v>
      </c>
      <c r="I199" s="5">
        <v>502624.5</v>
      </c>
      <c r="J199" s="5">
        <v>1412493.75</v>
      </c>
      <c r="K199" s="5">
        <v>1945770</v>
      </c>
      <c r="L199" s="5">
        <v>987033.75</v>
      </c>
      <c r="M199" s="5">
        <v>2483847</v>
      </c>
      <c r="N199" s="5">
        <v>1399344</v>
      </c>
      <c r="O199" s="5">
        <v>895383.75</v>
      </c>
      <c r="P199" s="5">
        <v>439926.75</v>
      </c>
      <c r="Q199" s="5">
        <v>1046483.25</v>
      </c>
      <c r="R199" s="5">
        <v>1408202.25</v>
      </c>
      <c r="S199" s="5">
        <v>2269979.25</v>
      </c>
    </row>
    <row r="200" spans="1:19" ht="10.9" customHeight="1" x14ac:dyDescent="0.2">
      <c r="F200" s="12" t="s">
        <v>202</v>
      </c>
      <c r="G200" s="5">
        <v>3568725</v>
      </c>
      <c r="H200" s="5">
        <v>1762500</v>
      </c>
      <c r="I200" s="5">
        <v>731025</v>
      </c>
      <c r="J200" s="5">
        <v>105269627.4975</v>
      </c>
      <c r="K200" s="5">
        <v>412500</v>
      </c>
      <c r="L200" s="5">
        <v>0</v>
      </c>
      <c r="M200" s="5">
        <v>6768930</v>
      </c>
      <c r="N200" s="5">
        <v>1747128.75</v>
      </c>
      <c r="O200" s="5">
        <v>3454125</v>
      </c>
      <c r="P200" s="5">
        <v>13778775</v>
      </c>
      <c r="Q200" s="5">
        <v>10709649.712499999</v>
      </c>
      <c r="R200" s="5">
        <v>15309840</v>
      </c>
      <c r="S200" s="5">
        <v>3370350</v>
      </c>
    </row>
    <row r="201" spans="1:19" ht="10.9" customHeight="1" x14ac:dyDescent="0.2">
      <c r="F201" s="12" t="s">
        <v>203</v>
      </c>
      <c r="G201" s="5">
        <v>63000</v>
      </c>
      <c r="H201" s="5">
        <v>1200000</v>
      </c>
      <c r="I201" s="5">
        <v>36000</v>
      </c>
      <c r="J201" s="5">
        <v>81000</v>
      </c>
      <c r="K201" s="5">
        <v>682500</v>
      </c>
      <c r="L201" s="5">
        <v>223500</v>
      </c>
      <c r="M201" s="5">
        <v>295500</v>
      </c>
      <c r="N201" s="5">
        <v>250250.0025</v>
      </c>
      <c r="O201" s="5">
        <v>72000</v>
      </c>
      <c r="P201" s="5">
        <v>100500</v>
      </c>
      <c r="Q201" s="5">
        <v>63000</v>
      </c>
      <c r="R201" s="5">
        <v>0</v>
      </c>
      <c r="S201" s="5">
        <v>0</v>
      </c>
    </row>
    <row r="202" spans="1:19" ht="10.9" customHeight="1" x14ac:dyDescent="0.2">
      <c r="F202" s="12" t="s">
        <v>204</v>
      </c>
      <c r="G202" s="5">
        <v>3248205</v>
      </c>
      <c r="H202" s="5">
        <v>4306387.5</v>
      </c>
      <c r="I202" s="5">
        <v>2241084.75</v>
      </c>
      <c r="J202" s="5">
        <v>8514750</v>
      </c>
      <c r="K202" s="5">
        <v>10303583.752499999</v>
      </c>
      <c r="L202" s="5">
        <v>7353375</v>
      </c>
      <c r="M202" s="5">
        <v>4542606</v>
      </c>
      <c r="N202" s="5">
        <v>3919850.0024999999</v>
      </c>
      <c r="O202" s="5">
        <v>13487662.5</v>
      </c>
      <c r="P202" s="5">
        <v>1443312.5024999999</v>
      </c>
      <c r="Q202" s="5">
        <v>9546125.4375</v>
      </c>
      <c r="R202" s="5">
        <v>5182726.2524999995</v>
      </c>
      <c r="S202" s="5">
        <v>2711121.75</v>
      </c>
    </row>
    <row r="203" spans="1:19" ht="10.9" customHeight="1" x14ac:dyDescent="0.2">
      <c r="F203" s="12" t="s">
        <v>205</v>
      </c>
      <c r="G203" s="5">
        <v>3264752.25</v>
      </c>
      <c r="H203" s="5">
        <v>3649632.75</v>
      </c>
      <c r="I203" s="5">
        <v>1677636.5024999999</v>
      </c>
      <c r="J203" s="5">
        <v>758002.5</v>
      </c>
      <c r="K203" s="5">
        <v>1951120.0049999999</v>
      </c>
      <c r="L203" s="5">
        <v>14698741.5</v>
      </c>
      <c r="M203" s="5">
        <v>3677525.25</v>
      </c>
      <c r="N203" s="5">
        <v>6271157.7524999995</v>
      </c>
      <c r="O203" s="5">
        <v>4264895.25</v>
      </c>
      <c r="P203" s="5">
        <v>1569755.25</v>
      </c>
      <c r="Q203" s="5">
        <v>2038314</v>
      </c>
      <c r="R203" s="5">
        <v>7384561.5</v>
      </c>
      <c r="S203" s="5">
        <v>1608250.5</v>
      </c>
    </row>
    <row r="204" spans="1:19" ht="10.9" customHeight="1" x14ac:dyDescent="0.2">
      <c r="F204" s="12" t="s">
        <v>206</v>
      </c>
      <c r="G204" s="5">
        <v>0</v>
      </c>
      <c r="H204" s="5">
        <v>0</v>
      </c>
      <c r="I204" s="5">
        <v>0</v>
      </c>
      <c r="J204" s="5">
        <v>0</v>
      </c>
      <c r="K204" s="5">
        <v>3023939.25</v>
      </c>
      <c r="L204" s="5">
        <v>2421435.75</v>
      </c>
      <c r="M204" s="5">
        <v>0</v>
      </c>
      <c r="N204" s="5">
        <v>0</v>
      </c>
      <c r="O204" s="5">
        <v>0</v>
      </c>
      <c r="P204" s="5">
        <v>75000</v>
      </c>
      <c r="Q204" s="5">
        <v>0</v>
      </c>
      <c r="R204" s="5">
        <v>0</v>
      </c>
      <c r="S204" s="5">
        <v>3742638.75</v>
      </c>
    </row>
    <row r="205" spans="1:19" ht="10.9" customHeight="1" x14ac:dyDescent="0.2">
      <c r="F205" s="12" t="s">
        <v>207</v>
      </c>
      <c r="G205" s="5">
        <v>6525000</v>
      </c>
      <c r="H205" s="5">
        <v>6075000</v>
      </c>
      <c r="I205" s="5">
        <v>0</v>
      </c>
      <c r="J205" s="5">
        <v>0</v>
      </c>
      <c r="K205" s="5">
        <v>21851250</v>
      </c>
      <c r="L205" s="5">
        <v>5250000</v>
      </c>
      <c r="M205" s="5">
        <v>21075000</v>
      </c>
      <c r="N205" s="5">
        <v>0</v>
      </c>
      <c r="O205" s="5">
        <v>0</v>
      </c>
      <c r="P205" s="5">
        <v>0</v>
      </c>
      <c r="Q205" s="5">
        <v>0</v>
      </c>
      <c r="R205" s="5">
        <v>0</v>
      </c>
      <c r="S205" s="5">
        <v>3729000</v>
      </c>
    </row>
    <row r="206" spans="1:19" ht="10.9" customHeight="1" x14ac:dyDescent="0.2">
      <c r="F206" s="12" t="s">
        <v>208</v>
      </c>
      <c r="G206" s="5">
        <v>0</v>
      </c>
      <c r="H206" s="5">
        <v>0</v>
      </c>
      <c r="I206" s="5">
        <v>0</v>
      </c>
      <c r="J206" s="5">
        <v>3414985.44</v>
      </c>
      <c r="K206" s="5">
        <v>3414985.44</v>
      </c>
      <c r="L206" s="5">
        <v>3414985.44</v>
      </c>
      <c r="M206" s="5">
        <v>3414985.44</v>
      </c>
      <c r="N206" s="5">
        <v>3479985.4424999999</v>
      </c>
      <c r="O206" s="5">
        <v>3479985.4424999999</v>
      </c>
      <c r="P206" s="5">
        <v>3479985.4424999999</v>
      </c>
      <c r="Q206" s="5">
        <v>3479985.4424999999</v>
      </c>
      <c r="R206" s="5">
        <v>3479985.4424999999</v>
      </c>
      <c r="S206" s="5">
        <v>3479985.4424999999</v>
      </c>
    </row>
    <row r="207" spans="1:19" ht="10.9" customHeight="1" x14ac:dyDescent="0.2">
      <c r="F207" s="12" t="s">
        <v>209</v>
      </c>
      <c r="G207" s="5">
        <v>1425000</v>
      </c>
      <c r="H207" s="5">
        <v>4840894.5</v>
      </c>
      <c r="I207" s="5">
        <v>2178937.5</v>
      </c>
      <c r="J207" s="5">
        <v>0</v>
      </c>
      <c r="K207" s="5">
        <v>2331124.9950000001</v>
      </c>
      <c r="L207" s="5">
        <v>5212500</v>
      </c>
      <c r="M207" s="5">
        <v>0</v>
      </c>
      <c r="N207" s="5">
        <v>2658750</v>
      </c>
      <c r="O207" s="5">
        <v>2531250</v>
      </c>
      <c r="P207" s="5">
        <v>2100000</v>
      </c>
      <c r="Q207" s="5">
        <v>3158250</v>
      </c>
      <c r="R207" s="5">
        <v>1087500</v>
      </c>
      <c r="S207" s="5">
        <v>1331250</v>
      </c>
    </row>
    <row r="208" spans="1:19" ht="10.9" customHeight="1" x14ac:dyDescent="0.2">
      <c r="F208" s="12" t="s">
        <v>210</v>
      </c>
      <c r="G208" s="5">
        <v>1601790</v>
      </c>
      <c r="H208" s="5">
        <v>458475</v>
      </c>
      <c r="I208" s="5">
        <v>0</v>
      </c>
      <c r="J208" s="5">
        <v>0</v>
      </c>
      <c r="K208" s="5">
        <v>0</v>
      </c>
      <c r="L208" s="5">
        <v>0</v>
      </c>
      <c r="M208" s="5">
        <v>4794630</v>
      </c>
      <c r="N208" s="5">
        <v>1909687.5</v>
      </c>
      <c r="O208" s="5">
        <v>596782.5</v>
      </c>
      <c r="P208" s="5">
        <v>250500</v>
      </c>
      <c r="Q208" s="5">
        <v>547500</v>
      </c>
      <c r="R208" s="5">
        <v>0</v>
      </c>
      <c r="S208" s="5">
        <v>0</v>
      </c>
    </row>
    <row r="209" spans="1:19" ht="10.9" customHeight="1" x14ac:dyDescent="0.2">
      <c r="F209" s="12" t="s">
        <v>211</v>
      </c>
      <c r="G209" s="5">
        <v>0</v>
      </c>
      <c r="H209" s="5">
        <v>0</v>
      </c>
      <c r="I209" s="5">
        <v>0</v>
      </c>
      <c r="J209" s="5">
        <v>0</v>
      </c>
      <c r="K209" s="5">
        <v>13875</v>
      </c>
      <c r="L209" s="5">
        <v>0</v>
      </c>
      <c r="M209" s="5">
        <v>0</v>
      </c>
      <c r="N209" s="5">
        <v>0</v>
      </c>
      <c r="O209" s="5">
        <v>29250</v>
      </c>
      <c r="P209" s="5">
        <v>36562.5</v>
      </c>
      <c r="Q209" s="5">
        <v>0</v>
      </c>
      <c r="R209" s="5">
        <v>258750</v>
      </c>
      <c r="S209" s="5">
        <v>600000</v>
      </c>
    </row>
    <row r="210" spans="1:19" ht="10.9" customHeight="1" x14ac:dyDescent="0.2">
      <c r="F210" s="12" t="s">
        <v>212</v>
      </c>
      <c r="G210" s="5">
        <v>1578067.5</v>
      </c>
      <c r="H210" s="5">
        <v>1275000</v>
      </c>
      <c r="I210" s="5">
        <v>0</v>
      </c>
      <c r="J210" s="5">
        <v>10093749.997500001</v>
      </c>
      <c r="K210" s="5">
        <v>10093749.997500001</v>
      </c>
      <c r="L210" s="5">
        <v>10380624.997500001</v>
      </c>
      <c r="M210" s="5">
        <v>11511249.997500001</v>
      </c>
      <c r="N210" s="5">
        <v>21054750</v>
      </c>
      <c r="O210" s="5">
        <v>10213749.997500001</v>
      </c>
      <c r="P210" s="5">
        <v>0</v>
      </c>
      <c r="Q210" s="5">
        <v>0</v>
      </c>
      <c r="R210" s="5">
        <v>0</v>
      </c>
      <c r="S210" s="5">
        <v>1616250</v>
      </c>
    </row>
    <row r="211" spans="1:19" ht="10.9" customHeight="1" x14ac:dyDescent="0.2">
      <c r="F211" s="12" t="s">
        <v>213</v>
      </c>
      <c r="G211" s="5">
        <v>0</v>
      </c>
      <c r="H211" s="5">
        <v>3176437.5</v>
      </c>
      <c r="I211" s="5">
        <v>0</v>
      </c>
      <c r="J211" s="5">
        <v>419250</v>
      </c>
      <c r="K211" s="5">
        <v>8607476.4975000005</v>
      </c>
      <c r="L211" s="5">
        <v>69219615</v>
      </c>
      <c r="M211" s="5">
        <v>0</v>
      </c>
      <c r="N211" s="5">
        <v>9477862.5</v>
      </c>
      <c r="O211" s="5">
        <v>13321053.217499999</v>
      </c>
      <c r="P211" s="5">
        <v>29703552.494999997</v>
      </c>
      <c r="Q211" s="5">
        <v>9296718.75</v>
      </c>
      <c r="R211" s="5">
        <v>50345450.002499998</v>
      </c>
      <c r="S211" s="5">
        <v>0</v>
      </c>
    </row>
    <row r="212" spans="1:19" ht="10.9" customHeight="1" x14ac:dyDescent="0.2">
      <c r="F212" s="12" t="s">
        <v>214</v>
      </c>
      <c r="G212" s="5">
        <v>1047750</v>
      </c>
      <c r="H212" s="5">
        <v>1146750</v>
      </c>
      <c r="I212" s="5">
        <v>561750</v>
      </c>
      <c r="J212" s="5">
        <v>1133775</v>
      </c>
      <c r="K212" s="5">
        <v>1398750</v>
      </c>
      <c r="L212" s="5">
        <v>8630175</v>
      </c>
      <c r="M212" s="5">
        <v>970500</v>
      </c>
      <c r="N212" s="5">
        <v>9118624.995000001</v>
      </c>
      <c r="O212" s="5">
        <v>2900250</v>
      </c>
      <c r="P212" s="5">
        <v>10857750</v>
      </c>
      <c r="Q212" s="5">
        <v>4436250</v>
      </c>
      <c r="R212" s="5">
        <v>1144500</v>
      </c>
      <c r="S212" s="5">
        <v>1342758.75</v>
      </c>
    </row>
    <row r="213" spans="1:19" ht="10.9" customHeight="1" x14ac:dyDescent="0.2">
      <c r="F213" s="13" t="s">
        <v>215</v>
      </c>
      <c r="G213" s="17">
        <f t="shared" ref="G213:S213" si="31">SUM(G194:G212)</f>
        <v>30694162.747499999</v>
      </c>
      <c r="H213" s="17">
        <f t="shared" si="31"/>
        <v>36039264.254999995</v>
      </c>
      <c r="I213" s="17">
        <f t="shared" si="31"/>
        <v>20588445.502500001</v>
      </c>
      <c r="J213" s="17">
        <f t="shared" si="31"/>
        <v>134956009.185</v>
      </c>
      <c r="K213" s="17">
        <f t="shared" si="31"/>
        <v>72709834.312499985</v>
      </c>
      <c r="L213" s="17">
        <f t="shared" si="31"/>
        <v>137875736.4375</v>
      </c>
      <c r="M213" s="17">
        <f t="shared" si="31"/>
        <v>70065073.6875</v>
      </c>
      <c r="N213" s="17">
        <f t="shared" si="31"/>
        <v>69117390.945000008</v>
      </c>
      <c r="O213" s="17">
        <f t="shared" si="31"/>
        <v>55763887.657499999</v>
      </c>
      <c r="P213" s="17">
        <f t="shared" si="31"/>
        <v>72689369.939999998</v>
      </c>
      <c r="Q213" s="17">
        <f t="shared" si="31"/>
        <v>44322276.592500001</v>
      </c>
      <c r="R213" s="17">
        <f t="shared" si="31"/>
        <v>98247322.192499995</v>
      </c>
      <c r="S213" s="17">
        <f t="shared" si="31"/>
        <v>31884084.442499999</v>
      </c>
    </row>
    <row r="214" spans="1:19" ht="10.9" customHeight="1" x14ac:dyDescent="0.2">
      <c r="E214" s="13" t="s">
        <v>216</v>
      </c>
      <c r="G214" s="17">
        <f t="shared" ref="G214:S214" si="32">(0 + (G192 + G213))</f>
        <v>40359103.252499998</v>
      </c>
      <c r="H214" s="17">
        <f t="shared" si="32"/>
        <v>51928600.754999995</v>
      </c>
      <c r="I214" s="17">
        <f t="shared" si="32"/>
        <v>26139933.502500001</v>
      </c>
      <c r="J214" s="17">
        <f t="shared" si="32"/>
        <v>140181618.435</v>
      </c>
      <c r="K214" s="17">
        <f t="shared" si="32"/>
        <v>84636372.314999983</v>
      </c>
      <c r="L214" s="17">
        <f t="shared" si="32"/>
        <v>162414171.5625</v>
      </c>
      <c r="M214" s="17">
        <f t="shared" si="32"/>
        <v>90195371.685000002</v>
      </c>
      <c r="N214" s="17">
        <f t="shared" si="32"/>
        <v>80401483.447500005</v>
      </c>
      <c r="O214" s="17">
        <f t="shared" si="32"/>
        <v>80359990.920000002</v>
      </c>
      <c r="P214" s="17">
        <f t="shared" si="32"/>
        <v>83010794.189999998</v>
      </c>
      <c r="Q214" s="17">
        <f t="shared" si="32"/>
        <v>48964263.592500001</v>
      </c>
      <c r="R214" s="17">
        <f t="shared" si="32"/>
        <v>106194219.4425</v>
      </c>
      <c r="S214" s="17">
        <f t="shared" si="32"/>
        <v>35735045.692499995</v>
      </c>
    </row>
    <row r="215" spans="1:19" ht="10.9" customHeight="1" x14ac:dyDescent="0.2">
      <c r="A215" s="11"/>
      <c r="B215" s="11"/>
      <c r="C215" s="11"/>
      <c r="D215" s="11"/>
      <c r="E215" s="11" t="s">
        <v>217</v>
      </c>
      <c r="F215" s="11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</row>
    <row r="216" spans="1:19" ht="10.9" customHeight="1" x14ac:dyDescent="0.2">
      <c r="F216" s="12" t="s">
        <v>218</v>
      </c>
      <c r="G216" s="5">
        <v>2405350.125</v>
      </c>
      <c r="H216" s="5">
        <v>945000</v>
      </c>
      <c r="I216" s="5">
        <v>750000</v>
      </c>
      <c r="J216" s="5">
        <v>7852774.5</v>
      </c>
      <c r="K216" s="5">
        <v>0</v>
      </c>
      <c r="L216" s="5">
        <v>4902330</v>
      </c>
      <c r="M216" s="5">
        <v>12444901.875</v>
      </c>
      <c r="N216" s="5">
        <v>349893.75</v>
      </c>
      <c r="O216" s="5">
        <v>719775</v>
      </c>
      <c r="P216" s="5">
        <v>0</v>
      </c>
      <c r="Q216" s="5">
        <v>2578530.375</v>
      </c>
      <c r="R216" s="5">
        <v>219131.25</v>
      </c>
      <c r="S216" s="5">
        <v>335437.5</v>
      </c>
    </row>
    <row r="217" spans="1:19" ht="10.9" customHeight="1" x14ac:dyDescent="0.2">
      <c r="F217" s="12" t="s">
        <v>219</v>
      </c>
      <c r="G217" s="5">
        <v>217500</v>
      </c>
      <c r="H217" s="5">
        <v>0</v>
      </c>
      <c r="I217" s="5">
        <v>0</v>
      </c>
      <c r="J217" s="5">
        <v>120000</v>
      </c>
      <c r="K217" s="5">
        <v>0</v>
      </c>
      <c r="L217" s="5">
        <v>0</v>
      </c>
      <c r="M217" s="5">
        <v>0</v>
      </c>
      <c r="N217" s="5">
        <v>201000</v>
      </c>
      <c r="O217" s="5">
        <v>39000</v>
      </c>
      <c r="P217" s="5">
        <v>225000</v>
      </c>
      <c r="Q217" s="5">
        <v>120000</v>
      </c>
      <c r="R217" s="5">
        <v>0</v>
      </c>
      <c r="S217" s="5">
        <v>0</v>
      </c>
    </row>
    <row r="218" spans="1:19" ht="10.9" customHeight="1" x14ac:dyDescent="0.2">
      <c r="F218" s="12" t="s">
        <v>220</v>
      </c>
      <c r="G218" s="5">
        <v>2512500</v>
      </c>
      <c r="H218" s="5">
        <v>262500</v>
      </c>
      <c r="I218" s="5">
        <v>0</v>
      </c>
      <c r="J218" s="5">
        <v>375000</v>
      </c>
      <c r="K218" s="5">
        <v>10500312</v>
      </c>
      <c r="L218" s="5">
        <v>187500</v>
      </c>
      <c r="M218" s="5">
        <v>35957550</v>
      </c>
      <c r="N218" s="5">
        <v>81750</v>
      </c>
      <c r="O218" s="5">
        <v>1030549.5</v>
      </c>
      <c r="P218" s="5">
        <v>3337500</v>
      </c>
      <c r="Q218" s="5">
        <v>3216263.25</v>
      </c>
      <c r="R218" s="5">
        <v>0</v>
      </c>
      <c r="S218" s="5">
        <v>0</v>
      </c>
    </row>
    <row r="219" spans="1:19" ht="10.9" customHeight="1" x14ac:dyDescent="0.2">
      <c r="F219" s="12" t="s">
        <v>221</v>
      </c>
      <c r="G219" s="5">
        <v>0</v>
      </c>
      <c r="H219" s="5">
        <v>0</v>
      </c>
      <c r="I219" s="5">
        <v>0</v>
      </c>
      <c r="J219" s="5">
        <v>0</v>
      </c>
      <c r="K219" s="5">
        <v>9300000</v>
      </c>
      <c r="L219" s="5">
        <v>0</v>
      </c>
      <c r="M219" s="5">
        <v>0</v>
      </c>
      <c r="N219" s="5">
        <v>0</v>
      </c>
      <c r="O219" s="5">
        <v>12318799.5</v>
      </c>
      <c r="P219" s="5">
        <v>4429100.25</v>
      </c>
      <c r="Q219" s="5">
        <v>4155589.5</v>
      </c>
      <c r="R219" s="5">
        <v>0</v>
      </c>
      <c r="S219" s="5">
        <v>0</v>
      </c>
    </row>
    <row r="220" spans="1:19" ht="10.9" customHeight="1" x14ac:dyDescent="0.2">
      <c r="F220" s="12" t="s">
        <v>222</v>
      </c>
      <c r="G220" s="5">
        <v>0</v>
      </c>
      <c r="H220" s="5">
        <v>0</v>
      </c>
      <c r="I220" s="5">
        <v>0</v>
      </c>
      <c r="J220" s="5">
        <v>0</v>
      </c>
      <c r="K220" s="5">
        <v>0</v>
      </c>
      <c r="L220" s="5">
        <v>0</v>
      </c>
      <c r="M220" s="5">
        <v>0</v>
      </c>
      <c r="N220" s="5">
        <v>0</v>
      </c>
      <c r="O220" s="5">
        <v>0</v>
      </c>
      <c r="P220" s="5">
        <v>0</v>
      </c>
      <c r="Q220" s="5">
        <v>31125</v>
      </c>
      <c r="R220" s="5">
        <v>0</v>
      </c>
      <c r="S220" s="5">
        <v>0</v>
      </c>
    </row>
    <row r="221" spans="1:19" ht="10.9" customHeight="1" x14ac:dyDescent="0.2">
      <c r="F221" s="12" t="s">
        <v>223</v>
      </c>
      <c r="G221" s="5">
        <v>0</v>
      </c>
      <c r="H221" s="5">
        <v>0</v>
      </c>
      <c r="I221" s="5">
        <v>0</v>
      </c>
      <c r="J221" s="5">
        <v>0</v>
      </c>
      <c r="K221" s="5">
        <v>0</v>
      </c>
      <c r="L221" s="5">
        <v>886022.8125</v>
      </c>
      <c r="M221" s="5">
        <v>0</v>
      </c>
      <c r="N221" s="5">
        <v>0</v>
      </c>
      <c r="O221" s="5">
        <v>0</v>
      </c>
      <c r="P221" s="5">
        <v>2490750</v>
      </c>
      <c r="Q221" s="5">
        <v>0</v>
      </c>
      <c r="R221" s="5">
        <v>7046280</v>
      </c>
      <c r="S221" s="5">
        <v>114421500</v>
      </c>
    </row>
    <row r="222" spans="1:19" ht="10.9" customHeight="1" x14ac:dyDescent="0.2">
      <c r="F222" s="12" t="s">
        <v>224</v>
      </c>
      <c r="G222" s="5">
        <v>75750</v>
      </c>
      <c r="H222" s="5">
        <v>0</v>
      </c>
      <c r="I222" s="5">
        <v>0</v>
      </c>
      <c r="J222" s="5">
        <v>0</v>
      </c>
      <c r="K222" s="5">
        <v>0</v>
      </c>
      <c r="L222" s="5">
        <v>0</v>
      </c>
      <c r="M222" s="5">
        <v>0</v>
      </c>
      <c r="N222" s="5">
        <v>0</v>
      </c>
      <c r="O222" s="5">
        <v>0</v>
      </c>
      <c r="P222" s="5">
        <v>0</v>
      </c>
      <c r="Q222" s="5">
        <v>0</v>
      </c>
      <c r="R222" s="5">
        <v>0</v>
      </c>
      <c r="S222" s="5">
        <v>0</v>
      </c>
    </row>
    <row r="223" spans="1:19" ht="10.9" customHeight="1" x14ac:dyDescent="0.2">
      <c r="F223" s="12" t="s">
        <v>225</v>
      </c>
      <c r="G223" s="5">
        <v>0</v>
      </c>
      <c r="H223" s="5">
        <v>0</v>
      </c>
      <c r="I223" s="5">
        <v>0</v>
      </c>
      <c r="J223" s="5">
        <v>0</v>
      </c>
      <c r="K223" s="5">
        <v>2250000</v>
      </c>
      <c r="L223" s="5">
        <v>0</v>
      </c>
      <c r="M223" s="5">
        <v>1500000</v>
      </c>
      <c r="N223" s="5">
        <v>0</v>
      </c>
      <c r="O223" s="5">
        <v>9750000</v>
      </c>
      <c r="P223" s="5">
        <v>0</v>
      </c>
      <c r="Q223" s="5">
        <v>0</v>
      </c>
      <c r="R223" s="5">
        <v>0</v>
      </c>
      <c r="S223" s="5">
        <v>2250000</v>
      </c>
    </row>
    <row r="224" spans="1:19" ht="10.9" customHeight="1" x14ac:dyDescent="0.2">
      <c r="F224" s="12" t="s">
        <v>226</v>
      </c>
      <c r="G224" s="5">
        <v>44046006</v>
      </c>
      <c r="H224" s="5">
        <v>42897132.75</v>
      </c>
      <c r="I224" s="5">
        <v>46505074.5</v>
      </c>
      <c r="J224" s="5">
        <v>42243012</v>
      </c>
      <c r="K224" s="5">
        <v>42281637</v>
      </c>
      <c r="L224" s="5">
        <v>42358887</v>
      </c>
      <c r="M224" s="5">
        <v>315580219.5</v>
      </c>
      <c r="N224" s="5">
        <v>2517000</v>
      </c>
      <c r="O224" s="5">
        <v>2517000</v>
      </c>
      <c r="P224" s="5">
        <v>2517000</v>
      </c>
      <c r="Q224" s="5">
        <v>2517000</v>
      </c>
      <c r="R224" s="5">
        <v>2517000</v>
      </c>
      <c r="S224" s="5">
        <v>2517000</v>
      </c>
    </row>
    <row r="225" spans="1:19" ht="10.9" customHeight="1" x14ac:dyDescent="0.2">
      <c r="F225" s="12" t="s">
        <v>227</v>
      </c>
      <c r="G225" s="5">
        <v>0</v>
      </c>
      <c r="H225" s="5">
        <v>0</v>
      </c>
      <c r="I225" s="5">
        <v>0</v>
      </c>
      <c r="J225" s="5">
        <v>0</v>
      </c>
      <c r="K225" s="5">
        <v>0</v>
      </c>
      <c r="L225" s="5">
        <v>0</v>
      </c>
      <c r="M225" s="5">
        <v>0</v>
      </c>
      <c r="N225" s="5">
        <v>0</v>
      </c>
      <c r="O225" s="5">
        <v>258300</v>
      </c>
      <c r="P225" s="5">
        <v>0</v>
      </c>
      <c r="Q225" s="5">
        <v>78000</v>
      </c>
      <c r="R225" s="5">
        <v>0</v>
      </c>
      <c r="S225" s="5">
        <v>0</v>
      </c>
    </row>
    <row r="226" spans="1:19" ht="10.9" customHeight="1" x14ac:dyDescent="0.2">
      <c r="F226" s="12" t="s">
        <v>228</v>
      </c>
      <c r="G226" s="5">
        <v>338437.5</v>
      </c>
      <c r="H226" s="5">
        <v>931716</v>
      </c>
      <c r="I226" s="5">
        <v>783247.5</v>
      </c>
      <c r="J226" s="5">
        <v>187500</v>
      </c>
      <c r="K226" s="5">
        <v>0</v>
      </c>
      <c r="L226" s="5">
        <v>94620</v>
      </c>
      <c r="M226" s="5">
        <v>17728860.75</v>
      </c>
      <c r="N226" s="5">
        <v>0</v>
      </c>
      <c r="O226" s="5">
        <v>1157249.76</v>
      </c>
      <c r="P226" s="5">
        <v>2219298.75</v>
      </c>
      <c r="Q226" s="5">
        <v>1223088</v>
      </c>
      <c r="R226" s="5">
        <v>2338421.25</v>
      </c>
      <c r="S226" s="5">
        <v>99600</v>
      </c>
    </row>
    <row r="227" spans="1:19" ht="10.9" customHeight="1" x14ac:dyDescent="0.2">
      <c r="F227" s="12" t="s">
        <v>229</v>
      </c>
      <c r="G227" s="5">
        <v>0</v>
      </c>
      <c r="H227" s="5">
        <v>0</v>
      </c>
      <c r="I227" s="5">
        <v>0</v>
      </c>
      <c r="J227" s="5">
        <v>0</v>
      </c>
      <c r="K227" s="5">
        <v>0</v>
      </c>
      <c r="L227" s="5">
        <v>0</v>
      </c>
      <c r="M227" s="5">
        <v>0</v>
      </c>
      <c r="N227" s="5">
        <v>0</v>
      </c>
      <c r="O227" s="5">
        <v>0</v>
      </c>
      <c r="P227" s="5">
        <v>0</v>
      </c>
      <c r="Q227" s="5">
        <v>0</v>
      </c>
      <c r="R227" s="5">
        <v>0</v>
      </c>
      <c r="S227" s="5">
        <v>60000</v>
      </c>
    </row>
    <row r="228" spans="1:19" ht="10.9" customHeight="1" x14ac:dyDescent="0.2">
      <c r="F228" s="12" t="s">
        <v>230</v>
      </c>
      <c r="G228" s="5">
        <v>0</v>
      </c>
      <c r="H228" s="5">
        <v>0</v>
      </c>
      <c r="I228" s="5">
        <v>0</v>
      </c>
      <c r="J228" s="5">
        <v>0</v>
      </c>
      <c r="K228" s="5">
        <v>0</v>
      </c>
      <c r="L228" s="5">
        <v>2625000</v>
      </c>
      <c r="M228" s="5">
        <v>1895963.25</v>
      </c>
      <c r="N228" s="5">
        <v>0</v>
      </c>
      <c r="O228" s="5">
        <v>0</v>
      </c>
      <c r="P228" s="5">
        <v>0</v>
      </c>
      <c r="Q228" s="5">
        <v>0</v>
      </c>
      <c r="R228" s="5">
        <v>1125000</v>
      </c>
      <c r="S228" s="5">
        <v>-3435000</v>
      </c>
    </row>
    <row r="229" spans="1:19" ht="10.9" customHeight="1" x14ac:dyDescent="0.2">
      <c r="F229" s="12" t="s">
        <v>231</v>
      </c>
      <c r="G229" s="5">
        <v>3259702.5</v>
      </c>
      <c r="H229" s="5">
        <v>937500</v>
      </c>
      <c r="I229" s="5">
        <v>15493200.75</v>
      </c>
      <c r="J229" s="5">
        <v>0</v>
      </c>
      <c r="K229" s="5">
        <v>20770086.75</v>
      </c>
      <c r="L229" s="5">
        <v>2647500</v>
      </c>
      <c r="M229" s="5">
        <v>3963750</v>
      </c>
      <c r="N229" s="5">
        <v>4184250</v>
      </c>
      <c r="O229" s="5">
        <v>521250</v>
      </c>
      <c r="P229" s="5">
        <v>1215000</v>
      </c>
      <c r="Q229" s="5">
        <v>3821250</v>
      </c>
      <c r="R229" s="5">
        <v>3434062.5</v>
      </c>
      <c r="S229" s="5">
        <v>3385200</v>
      </c>
    </row>
    <row r="230" spans="1:19" ht="10.9" customHeight="1" x14ac:dyDescent="0.2">
      <c r="F230" s="12" t="s">
        <v>232</v>
      </c>
      <c r="G230" s="5">
        <v>0</v>
      </c>
      <c r="H230" s="5">
        <v>0</v>
      </c>
      <c r="I230" s="5">
        <v>0</v>
      </c>
      <c r="J230" s="5">
        <v>0</v>
      </c>
      <c r="K230" s="5">
        <v>0</v>
      </c>
      <c r="L230" s="5">
        <v>0</v>
      </c>
      <c r="M230" s="5">
        <v>0</v>
      </c>
      <c r="N230" s="5">
        <v>7484250</v>
      </c>
      <c r="O230" s="5">
        <v>9330000</v>
      </c>
      <c r="P230" s="5">
        <v>0</v>
      </c>
      <c r="Q230" s="5">
        <v>0</v>
      </c>
      <c r="R230" s="5">
        <v>0</v>
      </c>
      <c r="S230" s="5">
        <v>0</v>
      </c>
    </row>
    <row r="231" spans="1:19" ht="10.9" customHeight="1" x14ac:dyDescent="0.2">
      <c r="F231" s="12" t="s">
        <v>233</v>
      </c>
      <c r="G231" s="5">
        <v>0</v>
      </c>
      <c r="H231" s="5">
        <v>0</v>
      </c>
      <c r="I231" s="5">
        <v>0</v>
      </c>
      <c r="J231" s="5">
        <v>0</v>
      </c>
      <c r="K231" s="5">
        <v>0</v>
      </c>
      <c r="L231" s="5">
        <v>0</v>
      </c>
      <c r="M231" s="5">
        <v>0</v>
      </c>
      <c r="N231" s="5">
        <v>0</v>
      </c>
      <c r="O231" s="5">
        <v>0</v>
      </c>
      <c r="P231" s="5">
        <v>3187500</v>
      </c>
      <c r="Q231" s="5">
        <v>0</v>
      </c>
      <c r="R231" s="5">
        <v>0</v>
      </c>
      <c r="S231" s="5">
        <v>0</v>
      </c>
    </row>
    <row r="232" spans="1:19" ht="10.9" customHeight="1" x14ac:dyDescent="0.2">
      <c r="E232" s="13" t="s">
        <v>234</v>
      </c>
      <c r="G232" s="17">
        <f t="shared" ref="G232:S232" si="33">SUM(G216:G231)</f>
        <v>52855246.125</v>
      </c>
      <c r="H232" s="17">
        <f t="shared" si="33"/>
        <v>45973848.75</v>
      </c>
      <c r="I232" s="17">
        <f t="shared" si="33"/>
        <v>63531522.75</v>
      </c>
      <c r="J232" s="17">
        <f t="shared" si="33"/>
        <v>50778286.5</v>
      </c>
      <c r="K232" s="17">
        <f t="shared" si="33"/>
        <v>85102035.75</v>
      </c>
      <c r="L232" s="17">
        <f t="shared" si="33"/>
        <v>53701859.8125</v>
      </c>
      <c r="M232" s="17">
        <f t="shared" si="33"/>
        <v>389071245.375</v>
      </c>
      <c r="N232" s="17">
        <f t="shared" si="33"/>
        <v>14818143.75</v>
      </c>
      <c r="O232" s="17">
        <f t="shared" si="33"/>
        <v>37641923.760000005</v>
      </c>
      <c r="P232" s="17">
        <f t="shared" si="33"/>
        <v>19621149</v>
      </c>
      <c r="Q232" s="17">
        <f t="shared" si="33"/>
        <v>17740846.125</v>
      </c>
      <c r="R232" s="17">
        <f t="shared" si="33"/>
        <v>16679895</v>
      </c>
      <c r="S232" s="17">
        <f t="shared" si="33"/>
        <v>119633737.5</v>
      </c>
    </row>
    <row r="233" spans="1:19" ht="10.9" customHeight="1" x14ac:dyDescent="0.2">
      <c r="A233" s="11"/>
      <c r="B233" s="11"/>
      <c r="C233" s="11"/>
      <c r="D233" s="11"/>
      <c r="E233" s="11" t="s">
        <v>235</v>
      </c>
      <c r="F233" s="11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</row>
    <row r="234" spans="1:19" ht="10.9" customHeight="1" x14ac:dyDescent="0.2">
      <c r="A234" s="11"/>
      <c r="B234" s="11"/>
      <c r="C234" s="11"/>
      <c r="D234" s="11"/>
      <c r="E234" s="11"/>
      <c r="F234" s="11" t="s">
        <v>236</v>
      </c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</row>
    <row r="235" spans="1:19" ht="10.9" customHeight="1" x14ac:dyDescent="0.2">
      <c r="F235" s="12" t="s">
        <v>237</v>
      </c>
      <c r="G235" s="5">
        <v>123750</v>
      </c>
      <c r="H235" s="5">
        <v>0</v>
      </c>
      <c r="I235" s="5">
        <v>0</v>
      </c>
      <c r="J235" s="5">
        <v>0</v>
      </c>
      <c r="K235" s="5">
        <v>767974.995</v>
      </c>
      <c r="L235" s="5">
        <v>885750</v>
      </c>
      <c r="M235" s="5">
        <v>0</v>
      </c>
      <c r="N235" s="5">
        <v>0</v>
      </c>
      <c r="O235" s="5">
        <v>0</v>
      </c>
      <c r="P235" s="5">
        <v>0</v>
      </c>
      <c r="Q235" s="5">
        <v>92175</v>
      </c>
      <c r="R235" s="5">
        <v>0</v>
      </c>
      <c r="S235" s="5">
        <v>0</v>
      </c>
    </row>
    <row r="236" spans="1:19" ht="10.9" customHeight="1" x14ac:dyDescent="0.2">
      <c r="F236" s="12" t="s">
        <v>238</v>
      </c>
      <c r="G236" s="5">
        <v>0</v>
      </c>
      <c r="H236" s="5">
        <v>911250</v>
      </c>
      <c r="I236" s="5">
        <v>41400</v>
      </c>
      <c r="J236" s="5">
        <v>826350</v>
      </c>
      <c r="K236" s="5">
        <v>365625</v>
      </c>
      <c r="L236" s="5">
        <v>168750</v>
      </c>
      <c r="M236" s="5">
        <v>187500</v>
      </c>
      <c r="N236" s="5">
        <v>3339000</v>
      </c>
      <c r="O236" s="5">
        <v>2509950</v>
      </c>
      <c r="P236" s="5">
        <v>2514750</v>
      </c>
      <c r="Q236" s="5">
        <v>793875</v>
      </c>
      <c r="R236" s="5">
        <v>0</v>
      </c>
      <c r="S236" s="5">
        <v>0</v>
      </c>
    </row>
    <row r="237" spans="1:19" ht="10.9" customHeight="1" x14ac:dyDescent="0.2">
      <c r="F237" s="12" t="s">
        <v>239</v>
      </c>
      <c r="G237" s="5">
        <v>1245177</v>
      </c>
      <c r="H237" s="5">
        <v>770025</v>
      </c>
      <c r="I237" s="5">
        <v>495750</v>
      </c>
      <c r="J237" s="5">
        <v>578062.5</v>
      </c>
      <c r="K237" s="5">
        <v>1672562.4975000001</v>
      </c>
      <c r="L237" s="5">
        <v>2371912.5</v>
      </c>
      <c r="M237" s="5">
        <v>1418905.5</v>
      </c>
      <c r="N237" s="5">
        <v>1290000</v>
      </c>
      <c r="O237" s="5">
        <v>1804293.75</v>
      </c>
      <c r="P237" s="5">
        <v>1313250</v>
      </c>
      <c r="Q237" s="5">
        <v>1118437.5</v>
      </c>
      <c r="R237" s="5">
        <v>1278310.5</v>
      </c>
      <c r="S237" s="5">
        <v>756789</v>
      </c>
    </row>
    <row r="238" spans="1:19" ht="10.9" customHeight="1" x14ac:dyDescent="0.2">
      <c r="F238" s="12" t="s">
        <v>240</v>
      </c>
      <c r="G238" s="5">
        <v>0</v>
      </c>
      <c r="H238" s="5">
        <v>441975</v>
      </c>
      <c r="I238" s="5">
        <v>674790</v>
      </c>
      <c r="J238" s="5">
        <v>0</v>
      </c>
      <c r="K238" s="5">
        <v>130725</v>
      </c>
      <c r="L238" s="5">
        <v>0</v>
      </c>
      <c r="M238" s="5">
        <v>784350</v>
      </c>
      <c r="N238" s="5">
        <v>0</v>
      </c>
      <c r="O238" s="5">
        <v>61432.5</v>
      </c>
      <c r="P238" s="5">
        <v>59760</v>
      </c>
      <c r="Q238" s="5">
        <v>0</v>
      </c>
      <c r="R238" s="5">
        <v>0</v>
      </c>
      <c r="S238" s="5">
        <v>0</v>
      </c>
    </row>
    <row r="239" spans="1:19" ht="10.9" customHeight="1" x14ac:dyDescent="0.2">
      <c r="F239" s="12" t="s">
        <v>241</v>
      </c>
      <c r="G239" s="5">
        <v>326250</v>
      </c>
      <c r="H239" s="5">
        <v>225000</v>
      </c>
      <c r="I239" s="5">
        <v>465000</v>
      </c>
      <c r="J239" s="5">
        <v>431250</v>
      </c>
      <c r="K239" s="5">
        <v>202500</v>
      </c>
      <c r="L239" s="5">
        <v>1440000</v>
      </c>
      <c r="M239" s="5">
        <v>0</v>
      </c>
      <c r="N239" s="5">
        <v>1951875</v>
      </c>
      <c r="O239" s="5">
        <v>1968750</v>
      </c>
      <c r="P239" s="5">
        <v>1968750</v>
      </c>
      <c r="Q239" s="5">
        <v>1012500</v>
      </c>
      <c r="R239" s="5">
        <v>10875</v>
      </c>
      <c r="S239" s="5">
        <v>892500</v>
      </c>
    </row>
    <row r="240" spans="1:19" ht="10.9" customHeight="1" x14ac:dyDescent="0.2">
      <c r="F240" s="12" t="s">
        <v>242</v>
      </c>
      <c r="G240" s="5">
        <v>1032348.2175</v>
      </c>
      <c r="H240" s="5">
        <v>0</v>
      </c>
      <c r="I240" s="5">
        <v>0</v>
      </c>
      <c r="J240" s="5">
        <v>0</v>
      </c>
      <c r="K240" s="5">
        <v>0</v>
      </c>
      <c r="L240" s="5">
        <v>0</v>
      </c>
      <c r="M240" s="5">
        <v>0</v>
      </c>
      <c r="N240" s="5">
        <v>0</v>
      </c>
      <c r="O240" s="5">
        <v>179501.25</v>
      </c>
      <c r="P240" s="5">
        <v>457484.25</v>
      </c>
      <c r="Q240" s="5">
        <v>0</v>
      </c>
      <c r="R240" s="5">
        <v>178461.75</v>
      </c>
      <c r="S240" s="5">
        <v>600000</v>
      </c>
    </row>
    <row r="241" spans="1:19" ht="10.9" customHeight="1" x14ac:dyDescent="0.2">
      <c r="F241" s="12" t="s">
        <v>243</v>
      </c>
      <c r="G241" s="5">
        <v>7500</v>
      </c>
      <c r="H241" s="5">
        <v>7500</v>
      </c>
      <c r="I241" s="5">
        <v>7500</v>
      </c>
      <c r="J241" s="5">
        <v>7500</v>
      </c>
      <c r="K241" s="5">
        <v>757500</v>
      </c>
      <c r="L241" s="5">
        <v>7500</v>
      </c>
      <c r="M241" s="5">
        <v>757500</v>
      </c>
      <c r="N241" s="5">
        <v>7500</v>
      </c>
      <c r="O241" s="5">
        <v>757500</v>
      </c>
      <c r="P241" s="5">
        <v>757500</v>
      </c>
      <c r="Q241" s="5">
        <v>7500</v>
      </c>
      <c r="R241" s="5">
        <v>757500</v>
      </c>
      <c r="S241" s="5">
        <v>382500</v>
      </c>
    </row>
    <row r="242" spans="1:19" ht="10.9" customHeight="1" x14ac:dyDescent="0.2">
      <c r="F242" s="12" t="s">
        <v>244</v>
      </c>
      <c r="G242" s="5">
        <v>12827812.5</v>
      </c>
      <c r="H242" s="5">
        <v>16943812.5</v>
      </c>
      <c r="I242" s="5">
        <v>13558125</v>
      </c>
      <c r="J242" s="5">
        <v>14529375</v>
      </c>
      <c r="K242" s="5">
        <v>15457500</v>
      </c>
      <c r="L242" s="5">
        <v>14529375</v>
      </c>
      <c r="M242" s="5">
        <v>15296250</v>
      </c>
      <c r="N242" s="5">
        <v>15221250</v>
      </c>
      <c r="O242" s="5">
        <v>13837500</v>
      </c>
      <c r="P242" s="5">
        <v>0</v>
      </c>
      <c r="Q242" s="5">
        <v>60000</v>
      </c>
      <c r="R242" s="5">
        <v>75000</v>
      </c>
      <c r="S242" s="5">
        <v>0</v>
      </c>
    </row>
    <row r="243" spans="1:19" ht="10.9" customHeight="1" x14ac:dyDescent="0.2">
      <c r="F243" s="12" t="s">
        <v>245</v>
      </c>
      <c r="G243" s="5">
        <v>0</v>
      </c>
      <c r="H243" s="5">
        <v>0</v>
      </c>
      <c r="I243" s="5">
        <v>0</v>
      </c>
      <c r="J243" s="5">
        <v>0</v>
      </c>
      <c r="K243" s="5">
        <v>0</v>
      </c>
      <c r="L243" s="5">
        <v>0</v>
      </c>
      <c r="M243" s="5">
        <v>0</v>
      </c>
      <c r="N243" s="5">
        <v>0</v>
      </c>
      <c r="O243" s="5">
        <v>0</v>
      </c>
      <c r="P243" s="5">
        <v>221130</v>
      </c>
      <c r="Q243" s="5">
        <v>0</v>
      </c>
      <c r="R243" s="5">
        <v>386977.5</v>
      </c>
      <c r="S243" s="5">
        <v>331695</v>
      </c>
    </row>
    <row r="244" spans="1:19" ht="10.9" customHeight="1" x14ac:dyDescent="0.2">
      <c r="F244" s="12" t="s">
        <v>246</v>
      </c>
      <c r="G244" s="5">
        <v>0</v>
      </c>
      <c r="H244" s="5">
        <v>17062.5</v>
      </c>
      <c r="I244" s="5">
        <v>165000</v>
      </c>
      <c r="J244" s="5">
        <v>24093.75</v>
      </c>
      <c r="K244" s="5">
        <v>78000</v>
      </c>
      <c r="L244" s="5">
        <v>39000</v>
      </c>
      <c r="M244" s="5">
        <v>79500</v>
      </c>
      <c r="N244" s="5">
        <v>31500</v>
      </c>
      <c r="O244" s="5">
        <v>227662.5</v>
      </c>
      <c r="P244" s="5">
        <v>3750</v>
      </c>
      <c r="Q244" s="5">
        <v>14250</v>
      </c>
      <c r="R244" s="5">
        <v>135843.75</v>
      </c>
      <c r="S244" s="5">
        <v>0</v>
      </c>
    </row>
    <row r="245" spans="1:19" ht="10.9" customHeight="1" x14ac:dyDescent="0.2">
      <c r="F245" s="12" t="s">
        <v>247</v>
      </c>
      <c r="G245" s="5">
        <v>0</v>
      </c>
      <c r="H245" s="5">
        <v>13569.75</v>
      </c>
      <c r="I245" s="5">
        <v>0</v>
      </c>
      <c r="J245" s="5">
        <v>0</v>
      </c>
      <c r="K245" s="5">
        <v>750000</v>
      </c>
      <c r="L245" s="5">
        <v>77945.25</v>
      </c>
      <c r="M245" s="5">
        <v>3750</v>
      </c>
      <c r="N245" s="5">
        <v>881499</v>
      </c>
      <c r="O245" s="5">
        <v>0</v>
      </c>
      <c r="P245" s="5">
        <v>0</v>
      </c>
      <c r="Q245" s="5">
        <v>0</v>
      </c>
      <c r="R245" s="5">
        <v>31125</v>
      </c>
      <c r="S245" s="5">
        <v>75000</v>
      </c>
    </row>
    <row r="246" spans="1:19" ht="10.9" customHeight="1" x14ac:dyDescent="0.2">
      <c r="F246" s="12" t="s">
        <v>248</v>
      </c>
      <c r="G246" s="5">
        <v>1807107.75</v>
      </c>
      <c r="H246" s="5">
        <v>0</v>
      </c>
      <c r="I246" s="5">
        <v>0</v>
      </c>
      <c r="J246" s="5">
        <v>0</v>
      </c>
      <c r="K246" s="5">
        <v>5076225</v>
      </c>
      <c r="L246" s="5">
        <v>2182605.75</v>
      </c>
      <c r="M246" s="5">
        <v>1236225</v>
      </c>
      <c r="N246" s="5">
        <v>3557394.75</v>
      </c>
      <c r="O246" s="5">
        <v>2325000</v>
      </c>
      <c r="P246" s="5">
        <v>1095797.25</v>
      </c>
      <c r="Q246" s="5">
        <v>0</v>
      </c>
      <c r="R246" s="5">
        <v>0</v>
      </c>
      <c r="S246" s="5">
        <v>1954575</v>
      </c>
    </row>
    <row r="247" spans="1:19" ht="10.9" customHeight="1" x14ac:dyDescent="0.2">
      <c r="F247" s="12" t="s">
        <v>249</v>
      </c>
      <c r="G247" s="5">
        <v>0</v>
      </c>
      <c r="H247" s="5">
        <v>666375</v>
      </c>
      <c r="I247" s="5">
        <v>6797625</v>
      </c>
      <c r="J247" s="5">
        <v>6375000</v>
      </c>
      <c r="K247" s="5">
        <v>7627875</v>
      </c>
      <c r="L247" s="5">
        <v>6799875</v>
      </c>
      <c r="M247" s="5">
        <v>12750000</v>
      </c>
      <c r="N247" s="5">
        <v>0</v>
      </c>
      <c r="O247" s="5">
        <v>1704000</v>
      </c>
      <c r="P247" s="5">
        <v>0</v>
      </c>
      <c r="Q247" s="5">
        <v>617250</v>
      </c>
      <c r="R247" s="5">
        <v>0</v>
      </c>
      <c r="S247" s="5">
        <v>1314375</v>
      </c>
    </row>
    <row r="248" spans="1:19" ht="10.9" customHeight="1" x14ac:dyDescent="0.2">
      <c r="F248" s="12" t="s">
        <v>250</v>
      </c>
      <c r="G248" s="5">
        <v>4370625</v>
      </c>
      <c r="H248" s="5">
        <v>4370625</v>
      </c>
      <c r="I248" s="5">
        <v>4370625</v>
      </c>
      <c r="J248" s="5">
        <v>0</v>
      </c>
      <c r="K248" s="5">
        <v>0</v>
      </c>
      <c r="L248" s="5">
        <v>4370625</v>
      </c>
      <c r="M248" s="5">
        <v>4370625</v>
      </c>
      <c r="N248" s="5">
        <v>4370625</v>
      </c>
      <c r="O248" s="5">
        <v>4370625</v>
      </c>
      <c r="P248" s="5">
        <v>4370625</v>
      </c>
      <c r="Q248" s="5">
        <v>4370625</v>
      </c>
      <c r="R248" s="5">
        <v>4370625</v>
      </c>
      <c r="S248" s="5">
        <v>4370625</v>
      </c>
    </row>
    <row r="249" spans="1:19" ht="10.9" customHeight="1" x14ac:dyDescent="0.2">
      <c r="F249" s="12" t="s">
        <v>251</v>
      </c>
      <c r="G249" s="5">
        <v>1500000</v>
      </c>
      <c r="H249" s="5">
        <v>75000</v>
      </c>
      <c r="I249" s="5">
        <v>1950000</v>
      </c>
      <c r="J249" s="5">
        <v>0</v>
      </c>
      <c r="K249" s="5">
        <v>0</v>
      </c>
      <c r="L249" s="5">
        <v>0</v>
      </c>
      <c r="M249" s="5">
        <v>0</v>
      </c>
      <c r="N249" s="5">
        <v>4125000</v>
      </c>
      <c r="O249" s="5">
        <v>0</v>
      </c>
      <c r="P249" s="5">
        <v>0</v>
      </c>
      <c r="Q249" s="5">
        <v>0</v>
      </c>
      <c r="R249" s="5">
        <v>0</v>
      </c>
      <c r="S249" s="5">
        <v>0</v>
      </c>
    </row>
    <row r="250" spans="1:19" ht="10.9" customHeight="1" x14ac:dyDescent="0.2">
      <c r="F250" s="12" t="s">
        <v>252</v>
      </c>
      <c r="G250" s="5">
        <v>0</v>
      </c>
      <c r="H250" s="5">
        <v>0</v>
      </c>
      <c r="I250" s="5">
        <v>0</v>
      </c>
      <c r="J250" s="5">
        <v>0</v>
      </c>
      <c r="K250" s="5">
        <v>3279700.0049999999</v>
      </c>
      <c r="L250" s="5">
        <v>3279700.0049999999</v>
      </c>
      <c r="M250" s="5">
        <v>3279700.0049999999</v>
      </c>
      <c r="N250" s="5">
        <v>3279700.0049999999</v>
      </c>
      <c r="O250" s="5">
        <v>4495864.29</v>
      </c>
      <c r="P250" s="5">
        <v>4495864.29</v>
      </c>
      <c r="Q250" s="5">
        <v>4495864.29</v>
      </c>
      <c r="R250" s="5">
        <v>4495864.29</v>
      </c>
      <c r="S250" s="5">
        <v>4495864.29</v>
      </c>
    </row>
    <row r="251" spans="1:19" ht="10.9" customHeight="1" x14ac:dyDescent="0.2">
      <c r="F251" s="12" t="s">
        <v>253</v>
      </c>
      <c r="G251" s="5">
        <v>1800000</v>
      </c>
      <c r="H251" s="5">
        <v>4050000</v>
      </c>
      <c r="I251" s="5">
        <v>4050000</v>
      </c>
      <c r="J251" s="5">
        <v>2400000</v>
      </c>
      <c r="K251" s="5">
        <v>2175000</v>
      </c>
      <c r="L251" s="5">
        <v>1500000</v>
      </c>
      <c r="M251" s="5">
        <v>2400000</v>
      </c>
      <c r="N251" s="5">
        <v>2100000</v>
      </c>
      <c r="O251" s="5">
        <v>3150000</v>
      </c>
      <c r="P251" s="5">
        <v>3150000</v>
      </c>
      <c r="Q251" s="5">
        <v>5550000</v>
      </c>
      <c r="R251" s="5">
        <v>2400000</v>
      </c>
      <c r="S251" s="5">
        <v>0</v>
      </c>
    </row>
    <row r="252" spans="1:19" ht="10.9" customHeight="1" x14ac:dyDescent="0.2">
      <c r="F252" s="12" t="s">
        <v>254</v>
      </c>
      <c r="G252" s="5">
        <v>873420</v>
      </c>
      <c r="H252" s="5">
        <v>262500</v>
      </c>
      <c r="I252" s="5">
        <v>2374275</v>
      </c>
      <c r="J252" s="5">
        <v>2754627.75</v>
      </c>
      <c r="K252" s="5">
        <v>6415425</v>
      </c>
      <c r="L252" s="5">
        <v>5475000</v>
      </c>
      <c r="M252" s="5">
        <v>1389675</v>
      </c>
      <c r="N252" s="5">
        <v>2850724.5</v>
      </c>
      <c r="O252" s="5">
        <v>3576494.25</v>
      </c>
      <c r="P252" s="5">
        <v>0</v>
      </c>
      <c r="Q252" s="5">
        <v>0</v>
      </c>
      <c r="R252" s="5">
        <v>0</v>
      </c>
      <c r="S252" s="5">
        <v>0</v>
      </c>
    </row>
    <row r="253" spans="1:19" ht="10.9" customHeight="1" x14ac:dyDescent="0.2">
      <c r="F253" s="13" t="s">
        <v>255</v>
      </c>
      <c r="G253" s="17">
        <f t="shared" ref="G253:S253" si="34">SUM(G235:G252)</f>
        <v>25913990.467500001</v>
      </c>
      <c r="H253" s="17">
        <f t="shared" si="34"/>
        <v>28754694.75</v>
      </c>
      <c r="I253" s="17">
        <f t="shared" si="34"/>
        <v>34950090</v>
      </c>
      <c r="J253" s="17">
        <f t="shared" si="34"/>
        <v>27926259</v>
      </c>
      <c r="K253" s="17">
        <f t="shared" si="34"/>
        <v>44756612.497500002</v>
      </c>
      <c r="L253" s="17">
        <f t="shared" si="34"/>
        <v>43128038.505000003</v>
      </c>
      <c r="M253" s="17">
        <f t="shared" si="34"/>
        <v>43953980.505000003</v>
      </c>
      <c r="N253" s="17">
        <f t="shared" si="34"/>
        <v>43006068.255000003</v>
      </c>
      <c r="O253" s="17">
        <f t="shared" si="34"/>
        <v>40968573.539999999</v>
      </c>
      <c r="P253" s="17">
        <f t="shared" si="34"/>
        <v>20408660.789999999</v>
      </c>
      <c r="Q253" s="17">
        <f t="shared" si="34"/>
        <v>18132476.789999999</v>
      </c>
      <c r="R253" s="17">
        <f t="shared" si="34"/>
        <v>14120582.789999999</v>
      </c>
      <c r="S253" s="17">
        <f t="shared" si="34"/>
        <v>15173923.289999999</v>
      </c>
    </row>
    <row r="254" spans="1:19" ht="10.9" customHeight="1" x14ac:dyDescent="0.2">
      <c r="A254" s="11"/>
      <c r="B254" s="11"/>
      <c r="C254" s="11"/>
      <c r="D254" s="11"/>
      <c r="E254" s="11"/>
      <c r="F254" s="11" t="s">
        <v>256</v>
      </c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</row>
    <row r="255" spans="1:19" ht="10.9" customHeight="1" x14ac:dyDescent="0.2">
      <c r="F255" s="12" t="s">
        <v>257</v>
      </c>
      <c r="G255" s="5">
        <v>108000</v>
      </c>
      <c r="H255" s="5">
        <v>90000</v>
      </c>
      <c r="I255" s="5">
        <v>0</v>
      </c>
      <c r="J255" s="5">
        <v>0</v>
      </c>
      <c r="K255" s="5">
        <v>0</v>
      </c>
      <c r="L255" s="5">
        <v>0</v>
      </c>
      <c r="M255" s="5">
        <v>0</v>
      </c>
      <c r="N255" s="5">
        <v>0</v>
      </c>
      <c r="O255" s="5">
        <v>0</v>
      </c>
      <c r="P255" s="5">
        <v>0</v>
      </c>
      <c r="Q255" s="5">
        <v>0</v>
      </c>
      <c r="R255" s="5">
        <v>810000</v>
      </c>
      <c r="S255" s="5">
        <v>783000</v>
      </c>
    </row>
    <row r="256" spans="1:19" ht="10.9" customHeight="1" x14ac:dyDescent="0.2">
      <c r="F256" s="12" t="s">
        <v>258</v>
      </c>
      <c r="G256" s="5">
        <v>49000.5</v>
      </c>
      <c r="H256" s="5">
        <v>206250</v>
      </c>
      <c r="I256" s="5">
        <v>37500</v>
      </c>
      <c r="J256" s="5">
        <v>45000</v>
      </c>
      <c r="K256" s="5">
        <v>66249.997499999998</v>
      </c>
      <c r="L256" s="5">
        <v>1617000</v>
      </c>
      <c r="M256" s="5">
        <v>0</v>
      </c>
      <c r="N256" s="5">
        <v>0</v>
      </c>
      <c r="O256" s="5">
        <v>783225</v>
      </c>
      <c r="P256" s="5">
        <v>0</v>
      </c>
      <c r="Q256" s="5">
        <v>480000</v>
      </c>
      <c r="R256" s="5">
        <v>0</v>
      </c>
      <c r="S256" s="5">
        <v>0</v>
      </c>
    </row>
    <row r="257" spans="1:19" ht="10.9" customHeight="1" x14ac:dyDescent="0.2">
      <c r="F257" s="12" t="s">
        <v>259</v>
      </c>
      <c r="G257" s="5">
        <v>24093.75</v>
      </c>
      <c r="H257" s="5">
        <v>36000</v>
      </c>
      <c r="I257" s="5">
        <v>0</v>
      </c>
      <c r="J257" s="5">
        <v>0</v>
      </c>
      <c r="K257" s="5">
        <v>64828.5</v>
      </c>
      <c r="L257" s="5">
        <v>46359.75</v>
      </c>
      <c r="M257" s="5">
        <v>0</v>
      </c>
      <c r="N257" s="5">
        <v>0</v>
      </c>
      <c r="O257" s="5">
        <v>35250</v>
      </c>
      <c r="P257" s="5">
        <v>156093.75</v>
      </c>
      <c r="Q257" s="5">
        <v>0</v>
      </c>
      <c r="R257" s="5">
        <v>0</v>
      </c>
      <c r="S257" s="5">
        <v>0</v>
      </c>
    </row>
    <row r="258" spans="1:19" ht="10.9" customHeight="1" x14ac:dyDescent="0.2">
      <c r="F258" s="12" t="s">
        <v>260</v>
      </c>
      <c r="G258" s="5">
        <v>0</v>
      </c>
      <c r="H258" s="5">
        <v>0</v>
      </c>
      <c r="I258" s="5">
        <v>2776249.9950000001</v>
      </c>
      <c r="J258" s="5">
        <v>0</v>
      </c>
      <c r="K258" s="5">
        <v>0</v>
      </c>
      <c r="L258" s="5">
        <v>0</v>
      </c>
      <c r="M258" s="5">
        <v>0</v>
      </c>
      <c r="N258" s="5">
        <v>0</v>
      </c>
      <c r="O258" s="5">
        <v>945000</v>
      </c>
      <c r="P258" s="5">
        <v>0</v>
      </c>
      <c r="Q258" s="5">
        <v>0</v>
      </c>
      <c r="R258" s="5">
        <v>0</v>
      </c>
      <c r="S258" s="5">
        <v>0</v>
      </c>
    </row>
    <row r="259" spans="1:19" ht="10.9" customHeight="1" x14ac:dyDescent="0.2">
      <c r="F259" s="13" t="s">
        <v>261</v>
      </c>
      <c r="G259" s="17">
        <f t="shared" ref="G259:S259" si="35">SUM(G255:G258)</f>
        <v>181094.25</v>
      </c>
      <c r="H259" s="17">
        <f t="shared" si="35"/>
        <v>332250</v>
      </c>
      <c r="I259" s="17">
        <f t="shared" si="35"/>
        <v>2813749.9950000001</v>
      </c>
      <c r="J259" s="17">
        <f t="shared" si="35"/>
        <v>45000</v>
      </c>
      <c r="K259" s="17">
        <f t="shared" si="35"/>
        <v>131078.4975</v>
      </c>
      <c r="L259" s="17">
        <f t="shared" si="35"/>
        <v>1663359.75</v>
      </c>
      <c r="M259" s="17">
        <f t="shared" si="35"/>
        <v>0</v>
      </c>
      <c r="N259" s="17">
        <f t="shared" si="35"/>
        <v>0</v>
      </c>
      <c r="O259" s="17">
        <f t="shared" si="35"/>
        <v>1763475</v>
      </c>
      <c r="P259" s="17">
        <f t="shared" si="35"/>
        <v>156093.75</v>
      </c>
      <c r="Q259" s="17">
        <f t="shared" si="35"/>
        <v>480000</v>
      </c>
      <c r="R259" s="17">
        <f t="shared" si="35"/>
        <v>810000</v>
      </c>
      <c r="S259" s="17">
        <f t="shared" si="35"/>
        <v>783000</v>
      </c>
    </row>
    <row r="260" spans="1:19" ht="10.9" customHeight="1" x14ac:dyDescent="0.2">
      <c r="E260" s="13" t="s">
        <v>262</v>
      </c>
      <c r="G260" s="17">
        <f t="shared" ref="G260:S260" si="36">(0 + (G253 + G259))</f>
        <v>26095084.717500001</v>
      </c>
      <c r="H260" s="17">
        <f t="shared" si="36"/>
        <v>29086944.75</v>
      </c>
      <c r="I260" s="17">
        <f t="shared" si="36"/>
        <v>37763839.994999997</v>
      </c>
      <c r="J260" s="17">
        <f t="shared" si="36"/>
        <v>27971259</v>
      </c>
      <c r="K260" s="17">
        <f t="shared" si="36"/>
        <v>44887690.995000005</v>
      </c>
      <c r="L260" s="17">
        <f t="shared" si="36"/>
        <v>44791398.255000003</v>
      </c>
      <c r="M260" s="17">
        <f t="shared" si="36"/>
        <v>43953980.505000003</v>
      </c>
      <c r="N260" s="17">
        <f t="shared" si="36"/>
        <v>43006068.255000003</v>
      </c>
      <c r="O260" s="17">
        <f t="shared" si="36"/>
        <v>42732048.539999999</v>
      </c>
      <c r="P260" s="17">
        <f t="shared" si="36"/>
        <v>20564754.539999999</v>
      </c>
      <c r="Q260" s="17">
        <f t="shared" si="36"/>
        <v>18612476.789999999</v>
      </c>
      <c r="R260" s="17">
        <f t="shared" si="36"/>
        <v>14930582.789999999</v>
      </c>
      <c r="S260" s="17">
        <f t="shared" si="36"/>
        <v>15956923.289999999</v>
      </c>
    </row>
    <row r="261" spans="1:19" ht="10.9" customHeight="1" x14ac:dyDescent="0.2">
      <c r="D261" s="13" t="s">
        <v>263</v>
      </c>
      <c r="G261" s="17">
        <f t="shared" ref="G261:S261" si="37">(0 + (((G183 + G214) + G232) + G260))</f>
        <v>179725921.3725</v>
      </c>
      <c r="H261" s="17">
        <f t="shared" si="37"/>
        <v>193909467.86250001</v>
      </c>
      <c r="I261" s="17">
        <f t="shared" si="37"/>
        <v>259443433.035</v>
      </c>
      <c r="J261" s="17">
        <f t="shared" si="37"/>
        <v>380446645.185</v>
      </c>
      <c r="K261" s="17">
        <f t="shared" si="37"/>
        <v>264098072.1225</v>
      </c>
      <c r="L261" s="17">
        <f t="shared" si="37"/>
        <v>315822055.26749998</v>
      </c>
      <c r="M261" s="17">
        <f t="shared" si="37"/>
        <v>596101899.54750001</v>
      </c>
      <c r="N261" s="17">
        <f t="shared" si="37"/>
        <v>211381214.14499998</v>
      </c>
      <c r="O261" s="17">
        <f t="shared" si="37"/>
        <v>226661367.41999999</v>
      </c>
      <c r="P261" s="17">
        <f t="shared" si="37"/>
        <v>175108128.405</v>
      </c>
      <c r="Q261" s="17">
        <f t="shared" si="37"/>
        <v>141986768.9025</v>
      </c>
      <c r="R261" s="17">
        <f t="shared" si="37"/>
        <v>169108206.04499999</v>
      </c>
      <c r="S261" s="17">
        <f t="shared" si="37"/>
        <v>207335480.24249998</v>
      </c>
    </row>
    <row r="262" spans="1:19" ht="10.9" customHeight="1" x14ac:dyDescent="0.2">
      <c r="F262" s="12" t="s">
        <v>264</v>
      </c>
      <c r="G262" s="16">
        <v>18808550.859999999</v>
      </c>
      <c r="H262" s="16">
        <v>80393106</v>
      </c>
      <c r="I262" s="16">
        <v>39416975.969999999</v>
      </c>
      <c r="J262" s="16">
        <v>102520951.61</v>
      </c>
      <c r="K262" s="16">
        <v>85112009.989999995</v>
      </c>
      <c r="L262" s="16">
        <v>135934696.65000001</v>
      </c>
      <c r="M262" s="16">
        <v>125947027.34</v>
      </c>
      <c r="N262" s="16">
        <v>99931929.659999996</v>
      </c>
      <c r="O262" s="16">
        <v>346488457.86000001</v>
      </c>
      <c r="P262" s="16">
        <v>110352226</v>
      </c>
      <c r="Q262" s="16">
        <v>33688590.020000003</v>
      </c>
      <c r="R262" s="16">
        <v>73010279</v>
      </c>
      <c r="S262" s="16">
        <v>83019227.400000006</v>
      </c>
    </row>
    <row r="263" spans="1:19" ht="10.9" customHeight="1" x14ac:dyDescent="0.2">
      <c r="C263" s="13" t="s">
        <v>265</v>
      </c>
      <c r="G263" s="17">
        <f t="shared" ref="G263:S263" si="38">(G262 + G261)</f>
        <v>198534472.23250002</v>
      </c>
      <c r="H263" s="17">
        <f t="shared" si="38"/>
        <v>274302573.86250001</v>
      </c>
      <c r="I263" s="17">
        <f t="shared" si="38"/>
        <v>298860409.005</v>
      </c>
      <c r="J263" s="17">
        <f t="shared" si="38"/>
        <v>482967596.79500002</v>
      </c>
      <c r="K263" s="17">
        <f t="shared" si="38"/>
        <v>349210082.11250001</v>
      </c>
      <c r="L263" s="17">
        <f t="shared" si="38"/>
        <v>451756751.91750002</v>
      </c>
      <c r="M263" s="17">
        <f t="shared" si="38"/>
        <v>722048926.88750005</v>
      </c>
      <c r="N263" s="17">
        <f t="shared" si="38"/>
        <v>311313143.80499995</v>
      </c>
      <c r="O263" s="17">
        <f t="shared" si="38"/>
        <v>573149825.27999997</v>
      </c>
      <c r="P263" s="17">
        <f t="shared" si="38"/>
        <v>285460354.40499997</v>
      </c>
      <c r="Q263" s="17">
        <f t="shared" si="38"/>
        <v>175675358.92250001</v>
      </c>
      <c r="R263" s="17">
        <f t="shared" si="38"/>
        <v>242118485.04499999</v>
      </c>
      <c r="S263" s="17">
        <f t="shared" si="38"/>
        <v>290354707.64249998</v>
      </c>
    </row>
    <row r="264" spans="1:19" ht="10.9" customHeight="1" x14ac:dyDescent="0.2">
      <c r="B264" s="13" t="s">
        <v>266</v>
      </c>
      <c r="G264" s="17">
        <f t="shared" ref="G264:S264" si="39">(0 + (G135 + G263))</f>
        <v>460224443.64999998</v>
      </c>
      <c r="H264" s="17">
        <f t="shared" si="39"/>
        <v>542327129.24250007</v>
      </c>
      <c r="I264" s="17">
        <f t="shared" si="39"/>
        <v>520834886.88</v>
      </c>
      <c r="J264" s="17">
        <f t="shared" si="39"/>
        <v>720853185.44749999</v>
      </c>
      <c r="K264" s="17">
        <f t="shared" si="39"/>
        <v>636429292.08500004</v>
      </c>
      <c r="L264" s="17">
        <f t="shared" si="39"/>
        <v>922647467.31750011</v>
      </c>
      <c r="M264" s="17">
        <f t="shared" si="39"/>
        <v>1121628153.1624999</v>
      </c>
      <c r="N264" s="17">
        <f t="shared" si="39"/>
        <v>777013084.55999994</v>
      </c>
      <c r="O264" s="17">
        <f t="shared" si="39"/>
        <v>958557699.05250001</v>
      </c>
      <c r="P264" s="17">
        <f t="shared" si="39"/>
        <v>556132522.7874999</v>
      </c>
      <c r="Q264" s="17">
        <f t="shared" si="39"/>
        <v>326503821.29750001</v>
      </c>
      <c r="R264" s="17">
        <f t="shared" si="39"/>
        <v>424611739.29499996</v>
      </c>
      <c r="S264" s="17">
        <f t="shared" si="39"/>
        <v>393522496.64249998</v>
      </c>
    </row>
    <row r="265" spans="1:19" ht="10.9" customHeight="1" x14ac:dyDescent="0.2">
      <c r="A265" s="13" t="s">
        <v>266</v>
      </c>
      <c r="G265" s="17">
        <f t="shared" ref="G265:S265" si="40">(0 + (G71 + G264))</f>
        <v>600889614.39999998</v>
      </c>
      <c r="H265" s="17">
        <f t="shared" si="40"/>
        <v>674344280.99250007</v>
      </c>
      <c r="I265" s="17">
        <f t="shared" si="40"/>
        <v>632537217.63</v>
      </c>
      <c r="J265" s="17">
        <f t="shared" si="40"/>
        <v>856516832.69749999</v>
      </c>
      <c r="K265" s="17">
        <f t="shared" si="40"/>
        <v>818494722.8075</v>
      </c>
      <c r="L265" s="17">
        <f t="shared" si="40"/>
        <v>1242648635.3175001</v>
      </c>
      <c r="M265" s="17">
        <f t="shared" si="40"/>
        <v>1381079207.8625</v>
      </c>
      <c r="N265" s="17">
        <f t="shared" si="40"/>
        <v>1196989875.8099999</v>
      </c>
      <c r="O265" s="17">
        <f t="shared" si="40"/>
        <v>1264198102.9875</v>
      </c>
      <c r="P265" s="17">
        <f t="shared" si="40"/>
        <v>718732960.0374999</v>
      </c>
      <c r="Q265" s="17">
        <f t="shared" si="40"/>
        <v>478629280.79750001</v>
      </c>
      <c r="R265" s="17">
        <f t="shared" si="40"/>
        <v>560440231.29499996</v>
      </c>
      <c r="S265" s="17">
        <f t="shared" si="40"/>
        <v>523542522.14249998</v>
      </c>
    </row>
    <row r="266" spans="1:19" ht="13.35" customHeight="1" x14ac:dyDescent="0.25">
      <c r="G266"/>
      <c r="H266"/>
      <c r="I266"/>
      <c r="J266"/>
      <c r="K266"/>
      <c r="L266"/>
      <c r="M266"/>
      <c r="N266"/>
      <c r="O266"/>
      <c r="P266"/>
      <c r="Q266"/>
      <c r="R266"/>
      <c r="S266"/>
    </row>
    <row r="267" spans="1:19" s="9" customFormat="1" ht="12.2" customHeight="1" x14ac:dyDescent="0.2">
      <c r="A267" s="6" t="s">
        <v>267</v>
      </c>
      <c r="B267" s="6"/>
      <c r="C267" s="6"/>
      <c r="D267" s="6"/>
      <c r="E267" s="6"/>
      <c r="F267" s="6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</row>
    <row r="268" spans="1:19" ht="10.9" customHeight="1" x14ac:dyDescent="0.2">
      <c r="A268" s="11"/>
      <c r="B268" s="11" t="s">
        <v>268</v>
      </c>
      <c r="C268" s="11"/>
      <c r="D268" s="11"/>
      <c r="E268" s="11"/>
      <c r="F268" s="11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</row>
    <row r="269" spans="1:19" ht="10.9" customHeight="1" x14ac:dyDescent="0.2">
      <c r="A269" s="11"/>
      <c r="B269" s="11"/>
      <c r="C269" s="11" t="s">
        <v>269</v>
      </c>
      <c r="D269" s="11"/>
      <c r="E269" s="11"/>
      <c r="F269" s="11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</row>
    <row r="270" spans="1:19" ht="10.9" customHeight="1" x14ac:dyDescent="0.2">
      <c r="A270" s="11"/>
      <c r="B270" s="11"/>
      <c r="C270" s="11"/>
      <c r="D270" s="11" t="s">
        <v>270</v>
      </c>
      <c r="E270" s="11"/>
      <c r="F270" s="11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</row>
    <row r="271" spans="1:19" ht="10.9" customHeight="1" x14ac:dyDescent="0.2">
      <c r="F271" s="12" t="s">
        <v>271</v>
      </c>
      <c r="G271" s="5">
        <v>45328500</v>
      </c>
      <c r="H271" s="5">
        <v>50758557.75</v>
      </c>
      <c r="I271" s="5">
        <v>47555724.75</v>
      </c>
      <c r="J271" s="5">
        <v>45521250</v>
      </c>
      <c r="K271" s="5">
        <v>43181250</v>
      </c>
      <c r="L271" s="5">
        <v>44876455.5</v>
      </c>
      <c r="M271" s="5">
        <v>43560000</v>
      </c>
      <c r="N271" s="5">
        <v>44310000</v>
      </c>
      <c r="O271" s="5">
        <v>44122500</v>
      </c>
      <c r="P271" s="5">
        <v>43875910.5</v>
      </c>
      <c r="Q271" s="5">
        <v>35497500</v>
      </c>
      <c r="R271" s="5">
        <v>34747500</v>
      </c>
      <c r="S271" s="5">
        <v>33014250</v>
      </c>
    </row>
    <row r="272" spans="1:19" ht="10.9" customHeight="1" x14ac:dyDescent="0.2">
      <c r="F272" s="12" t="s">
        <v>272</v>
      </c>
      <c r="G272" s="5">
        <v>2250978.75</v>
      </c>
      <c r="H272" s="5">
        <v>2344344</v>
      </c>
      <c r="I272" s="5">
        <v>2208144</v>
      </c>
      <c r="J272" s="5">
        <v>2066664.75</v>
      </c>
      <c r="K272" s="5">
        <v>2066664.75</v>
      </c>
      <c r="L272" s="5">
        <v>1977624</v>
      </c>
      <c r="M272" s="5">
        <v>1909524</v>
      </c>
      <c r="N272" s="5">
        <v>2003161.5</v>
      </c>
      <c r="O272" s="5">
        <v>2003161.5</v>
      </c>
      <c r="P272" s="5">
        <v>1662661.5</v>
      </c>
      <c r="Q272" s="5">
        <v>1594561.5</v>
      </c>
      <c r="R272" s="5">
        <v>1293389.25</v>
      </c>
      <c r="S272" s="5">
        <v>1382430</v>
      </c>
    </row>
    <row r="273" spans="1:19" ht="10.9" customHeight="1" x14ac:dyDescent="0.2">
      <c r="F273" s="12" t="s">
        <v>273</v>
      </c>
      <c r="G273" s="5">
        <v>1983240</v>
      </c>
      <c r="H273" s="5">
        <v>2065500</v>
      </c>
      <c r="I273" s="5">
        <v>1945500</v>
      </c>
      <c r="J273" s="5">
        <v>1820850</v>
      </c>
      <c r="K273" s="5">
        <v>1820850</v>
      </c>
      <c r="L273" s="5">
        <v>1899300</v>
      </c>
      <c r="M273" s="5">
        <v>1682400</v>
      </c>
      <c r="N273" s="5">
        <v>1764900</v>
      </c>
      <c r="O273" s="5">
        <v>1764900</v>
      </c>
      <c r="P273" s="5">
        <v>1464900</v>
      </c>
      <c r="Q273" s="5">
        <v>1404900</v>
      </c>
      <c r="R273" s="5">
        <v>1374900</v>
      </c>
      <c r="S273" s="5">
        <v>1218000</v>
      </c>
    </row>
    <row r="274" spans="1:19" ht="10.9" customHeight="1" x14ac:dyDescent="0.2">
      <c r="F274" s="12" t="s">
        <v>274</v>
      </c>
      <c r="G274" s="5">
        <v>7554750</v>
      </c>
      <c r="H274" s="5">
        <v>8459760</v>
      </c>
      <c r="I274" s="5">
        <v>7925954.25</v>
      </c>
      <c r="J274" s="5">
        <v>7586874.75</v>
      </c>
      <c r="K274" s="5">
        <v>7196874.75</v>
      </c>
      <c r="L274" s="5">
        <v>7479409.5</v>
      </c>
      <c r="M274" s="5">
        <v>7260000</v>
      </c>
      <c r="N274" s="5">
        <v>7385000.25</v>
      </c>
      <c r="O274" s="5">
        <v>7353750</v>
      </c>
      <c r="P274" s="5">
        <v>7353750</v>
      </c>
      <c r="Q274" s="5">
        <v>5916249.75</v>
      </c>
      <c r="R274" s="5">
        <v>6118125</v>
      </c>
      <c r="S274" s="5">
        <v>5450000.25</v>
      </c>
    </row>
    <row r="275" spans="1:19" ht="10.9" customHeight="1" x14ac:dyDescent="0.2">
      <c r="F275" s="12" t="s">
        <v>275</v>
      </c>
      <c r="G275" s="5">
        <v>21150000</v>
      </c>
      <c r="H275" s="5">
        <v>21870000</v>
      </c>
      <c r="I275" s="5">
        <v>15840000</v>
      </c>
      <c r="J275" s="5">
        <v>15120000</v>
      </c>
      <c r="K275" s="5">
        <v>24300000</v>
      </c>
      <c r="L275" s="5">
        <v>47700000</v>
      </c>
      <c r="M275" s="5">
        <v>42930000</v>
      </c>
      <c r="N275" s="5">
        <v>46260000</v>
      </c>
      <c r="O275" s="5">
        <v>31410000</v>
      </c>
      <c r="P275" s="5">
        <v>11700000</v>
      </c>
      <c r="Q275" s="5">
        <v>11700000</v>
      </c>
      <c r="R275" s="5">
        <v>13500000</v>
      </c>
      <c r="S275" s="5">
        <v>6450000</v>
      </c>
    </row>
    <row r="276" spans="1:19" ht="10.9" customHeight="1" x14ac:dyDescent="0.2">
      <c r="F276" s="12" t="s">
        <v>276</v>
      </c>
      <c r="G276" s="5">
        <v>4184180.7450000001</v>
      </c>
      <c r="H276" s="5">
        <v>3410611.7475000001</v>
      </c>
      <c r="I276" s="5">
        <v>3840623.7524999999</v>
      </c>
      <c r="J276" s="5">
        <v>4720865.13</v>
      </c>
      <c r="K276" s="5">
        <v>4562702.5124999993</v>
      </c>
      <c r="L276" s="5">
        <v>4972832.28</v>
      </c>
      <c r="M276" s="5">
        <v>4587971.8874999993</v>
      </c>
      <c r="N276" s="5">
        <v>5437619.6550000003</v>
      </c>
      <c r="O276" s="5">
        <v>4418769.3600000003</v>
      </c>
      <c r="P276" s="5">
        <v>4346481.6374999993</v>
      </c>
      <c r="Q276" s="5">
        <v>4528070.8274999997</v>
      </c>
      <c r="R276" s="5">
        <v>4131793.6125000003</v>
      </c>
      <c r="S276" s="5">
        <v>3179047.9124999996</v>
      </c>
    </row>
    <row r="277" spans="1:19" ht="10.9" customHeight="1" x14ac:dyDescent="0.2">
      <c r="D277" s="13" t="s">
        <v>277</v>
      </c>
      <c r="G277" s="17">
        <f t="shared" ref="G277:S277" si="41">SUM(G271:G276)</f>
        <v>82451649.495000005</v>
      </c>
      <c r="H277" s="17">
        <f t="shared" si="41"/>
        <v>88908773.497500002</v>
      </c>
      <c r="I277" s="17">
        <f t="shared" si="41"/>
        <v>79315946.752499998</v>
      </c>
      <c r="J277" s="17">
        <f t="shared" si="41"/>
        <v>76836504.629999995</v>
      </c>
      <c r="K277" s="17">
        <f t="shared" si="41"/>
        <v>83128342.012500003</v>
      </c>
      <c r="L277" s="17">
        <f t="shared" si="41"/>
        <v>108905621.28</v>
      </c>
      <c r="M277" s="17">
        <f t="shared" si="41"/>
        <v>101929895.8875</v>
      </c>
      <c r="N277" s="17">
        <f t="shared" si="41"/>
        <v>107160681.405</v>
      </c>
      <c r="O277" s="17">
        <f t="shared" si="41"/>
        <v>91073080.859999999</v>
      </c>
      <c r="P277" s="17">
        <f t="shared" si="41"/>
        <v>70403703.637500003</v>
      </c>
      <c r="Q277" s="17">
        <f t="shared" si="41"/>
        <v>60641282.077500001</v>
      </c>
      <c r="R277" s="17">
        <f t="shared" si="41"/>
        <v>61165707.862499997</v>
      </c>
      <c r="S277" s="17">
        <f t="shared" si="41"/>
        <v>50693728.162500001</v>
      </c>
    </row>
    <row r="278" spans="1:19" ht="10.9" customHeight="1" x14ac:dyDescent="0.2">
      <c r="A278" s="11"/>
      <c r="B278" s="11"/>
      <c r="C278" s="11"/>
      <c r="D278" s="11" t="s">
        <v>278</v>
      </c>
      <c r="E278" s="11"/>
      <c r="F278" s="11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</row>
    <row r="279" spans="1:19" ht="10.9" customHeight="1" x14ac:dyDescent="0.2">
      <c r="F279" s="12" t="s">
        <v>279</v>
      </c>
      <c r="G279" s="5">
        <v>25650000</v>
      </c>
      <c r="H279" s="5">
        <v>28113834</v>
      </c>
      <c r="I279" s="5">
        <v>30576000</v>
      </c>
      <c r="J279" s="5">
        <v>30184777.5</v>
      </c>
      <c r="K279" s="5">
        <v>28008750</v>
      </c>
      <c r="L279" s="5">
        <v>24463253.25</v>
      </c>
      <c r="M279" s="5">
        <v>16070034.75</v>
      </c>
      <c r="N279" s="5">
        <v>25758750</v>
      </c>
      <c r="O279" s="5">
        <v>31665204.75</v>
      </c>
      <c r="P279" s="5">
        <v>35111178.75</v>
      </c>
      <c r="Q279" s="5">
        <v>33243247.5</v>
      </c>
      <c r="R279" s="5">
        <v>66850653.75</v>
      </c>
      <c r="S279" s="5">
        <v>67229537.25</v>
      </c>
    </row>
    <row r="280" spans="1:19" ht="10.9" customHeight="1" x14ac:dyDescent="0.2">
      <c r="F280" s="12" t="s">
        <v>280</v>
      </c>
      <c r="G280" s="5">
        <v>1106080.5</v>
      </c>
      <c r="H280" s="5">
        <v>1294785.75</v>
      </c>
      <c r="I280" s="5">
        <v>1388151</v>
      </c>
      <c r="J280" s="5">
        <v>1169447.25</v>
      </c>
      <c r="K280" s="5">
        <v>1169447.25</v>
      </c>
      <c r="L280" s="5">
        <v>1080406.5</v>
      </c>
      <c r="M280" s="5">
        <v>1080406.5</v>
      </c>
      <c r="N280" s="5">
        <v>1530888</v>
      </c>
      <c r="O280" s="5">
        <v>1530888</v>
      </c>
      <c r="P280" s="5">
        <v>1441847.25</v>
      </c>
      <c r="Q280" s="5">
        <v>1441847.25</v>
      </c>
      <c r="R280" s="5">
        <v>1646147.25</v>
      </c>
      <c r="S280" s="5">
        <v>1441847.25</v>
      </c>
    </row>
    <row r="281" spans="1:19" ht="10.9" customHeight="1" x14ac:dyDescent="0.2">
      <c r="F281" s="12" t="s">
        <v>281</v>
      </c>
      <c r="G281" s="5">
        <v>794520</v>
      </c>
      <c r="H281" s="5">
        <v>960780</v>
      </c>
      <c r="I281" s="5">
        <v>1043040</v>
      </c>
      <c r="J281" s="5">
        <v>940350</v>
      </c>
      <c r="K281" s="5">
        <v>850350</v>
      </c>
      <c r="L281" s="5">
        <v>771900</v>
      </c>
      <c r="M281" s="5">
        <v>501900</v>
      </c>
      <c r="N281" s="5">
        <v>1168800</v>
      </c>
      <c r="O281" s="5">
        <v>1168800</v>
      </c>
      <c r="P281" s="5">
        <v>1168800</v>
      </c>
      <c r="Q281" s="5">
        <v>1258800</v>
      </c>
      <c r="R281" s="5">
        <v>1360350</v>
      </c>
      <c r="S281" s="5">
        <v>1354350</v>
      </c>
    </row>
    <row r="282" spans="1:19" ht="10.9" customHeight="1" x14ac:dyDescent="0.2">
      <c r="F282" s="12" t="s">
        <v>282</v>
      </c>
      <c r="G282" s="5">
        <v>4275000</v>
      </c>
      <c r="H282" s="5">
        <v>4685639.25</v>
      </c>
      <c r="I282" s="5">
        <v>5096000.25</v>
      </c>
      <c r="J282" s="5">
        <v>5030796</v>
      </c>
      <c r="K282" s="5">
        <v>4668125.25</v>
      </c>
      <c r="L282" s="5">
        <v>4077209.25</v>
      </c>
      <c r="M282" s="5">
        <v>4235695.5</v>
      </c>
      <c r="N282" s="5">
        <v>5619999.75</v>
      </c>
      <c r="O282" s="5">
        <v>6182499.75</v>
      </c>
      <c r="P282" s="5">
        <v>6509375.25</v>
      </c>
      <c r="Q282" s="5">
        <v>6369999.75</v>
      </c>
      <c r="R282" s="5">
        <v>6768125.25</v>
      </c>
      <c r="S282" s="5">
        <v>6393125.25</v>
      </c>
    </row>
    <row r="283" spans="1:19" ht="10.9" customHeight="1" x14ac:dyDescent="0.2">
      <c r="F283" s="12" t="s">
        <v>283</v>
      </c>
      <c r="G283" s="5">
        <v>8460000</v>
      </c>
      <c r="H283" s="5">
        <v>11070000</v>
      </c>
      <c r="I283" s="5">
        <v>7560000</v>
      </c>
      <c r="J283" s="5">
        <v>4500000</v>
      </c>
      <c r="K283" s="5">
        <v>8460000</v>
      </c>
      <c r="L283" s="5">
        <v>10170000</v>
      </c>
      <c r="M283" s="5">
        <v>11880000</v>
      </c>
      <c r="N283" s="5">
        <v>5760000</v>
      </c>
      <c r="O283" s="5">
        <v>5670000</v>
      </c>
      <c r="P283" s="5">
        <v>0</v>
      </c>
      <c r="Q283" s="5">
        <v>0</v>
      </c>
      <c r="R283" s="5">
        <v>0</v>
      </c>
      <c r="S283" s="5">
        <v>0</v>
      </c>
    </row>
    <row r="284" spans="1:19" ht="10.9" customHeight="1" x14ac:dyDescent="0.2">
      <c r="F284" s="12" t="s">
        <v>284</v>
      </c>
      <c r="G284" s="5">
        <v>2295447.4950000001</v>
      </c>
      <c r="H284" s="5">
        <v>3377939.4975000001</v>
      </c>
      <c r="I284" s="5">
        <v>3218155.2524999999</v>
      </c>
      <c r="J284" s="5">
        <v>3735919.38</v>
      </c>
      <c r="K284" s="5">
        <v>4815414.6374999993</v>
      </c>
      <c r="L284" s="5">
        <v>4897444.9050000003</v>
      </c>
      <c r="M284" s="5">
        <v>3846698.1374999997</v>
      </c>
      <c r="N284" s="5">
        <v>4150981.9050000003</v>
      </c>
      <c r="O284" s="5">
        <v>4039345.8600000003</v>
      </c>
      <c r="P284" s="5">
        <v>3448628.8874999997</v>
      </c>
      <c r="Q284" s="5">
        <v>3983916.5774999997</v>
      </c>
      <c r="R284" s="5">
        <v>3901651.6125000003</v>
      </c>
      <c r="S284" s="5">
        <v>2753212.9124999996</v>
      </c>
    </row>
    <row r="285" spans="1:19" ht="10.9" customHeight="1" x14ac:dyDescent="0.2">
      <c r="D285" s="13" t="s">
        <v>285</v>
      </c>
      <c r="G285" s="17">
        <f t="shared" ref="G285:S285" si="42">SUM(G279:G284)</f>
        <v>42581047.994999997</v>
      </c>
      <c r="H285" s="17">
        <f t="shared" si="42"/>
        <v>49502978.497500002</v>
      </c>
      <c r="I285" s="17">
        <f t="shared" si="42"/>
        <v>48881346.502499998</v>
      </c>
      <c r="J285" s="17">
        <f t="shared" si="42"/>
        <v>45561290.130000003</v>
      </c>
      <c r="K285" s="17">
        <f t="shared" si="42"/>
        <v>47972087.137500003</v>
      </c>
      <c r="L285" s="17">
        <f t="shared" si="42"/>
        <v>45460213.905000001</v>
      </c>
      <c r="M285" s="17">
        <f t="shared" si="42"/>
        <v>37614734.887500003</v>
      </c>
      <c r="N285" s="17">
        <f t="shared" si="42"/>
        <v>43989419.655000001</v>
      </c>
      <c r="O285" s="17">
        <f t="shared" si="42"/>
        <v>50256738.359999999</v>
      </c>
      <c r="P285" s="17">
        <f t="shared" si="42"/>
        <v>47679830.137500003</v>
      </c>
      <c r="Q285" s="17">
        <f t="shared" si="42"/>
        <v>46297811.077500001</v>
      </c>
      <c r="R285" s="17">
        <f t="shared" si="42"/>
        <v>80526927.862499997</v>
      </c>
      <c r="S285" s="17">
        <f t="shared" si="42"/>
        <v>79172072.662499994</v>
      </c>
    </row>
    <row r="286" spans="1:19" ht="10.9" customHeight="1" x14ac:dyDescent="0.2">
      <c r="C286" s="13" t="s">
        <v>286</v>
      </c>
      <c r="G286" s="17">
        <f t="shared" ref="G286:S286" si="43">(0 + (G277 + G285))</f>
        <v>125032697.49000001</v>
      </c>
      <c r="H286" s="17">
        <f t="shared" si="43"/>
        <v>138411751.995</v>
      </c>
      <c r="I286" s="17">
        <f t="shared" si="43"/>
        <v>128197293.255</v>
      </c>
      <c r="J286" s="17">
        <f t="shared" si="43"/>
        <v>122397794.75999999</v>
      </c>
      <c r="K286" s="17">
        <f t="shared" si="43"/>
        <v>131100429.15000001</v>
      </c>
      <c r="L286" s="17">
        <f t="shared" si="43"/>
        <v>154365835.185</v>
      </c>
      <c r="M286" s="17">
        <f t="shared" si="43"/>
        <v>139544630.77500001</v>
      </c>
      <c r="N286" s="17">
        <f t="shared" si="43"/>
        <v>151150101.06</v>
      </c>
      <c r="O286" s="17">
        <f t="shared" si="43"/>
        <v>141329819.22</v>
      </c>
      <c r="P286" s="17">
        <f t="shared" si="43"/>
        <v>118083533.77500001</v>
      </c>
      <c r="Q286" s="17">
        <f t="shared" si="43"/>
        <v>106939093.155</v>
      </c>
      <c r="R286" s="17">
        <f t="shared" si="43"/>
        <v>141692635.72499999</v>
      </c>
      <c r="S286" s="17">
        <f t="shared" si="43"/>
        <v>129865800.82499999</v>
      </c>
    </row>
    <row r="287" spans="1:19" ht="10.9" customHeight="1" x14ac:dyDescent="0.2">
      <c r="A287" s="11"/>
      <c r="B287" s="11"/>
      <c r="C287" s="11" t="s">
        <v>287</v>
      </c>
      <c r="D287" s="11"/>
      <c r="E287" s="11"/>
      <c r="F287" s="11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</row>
    <row r="288" spans="1:19" ht="10.9" customHeight="1" x14ac:dyDescent="0.2">
      <c r="F288" s="12" t="s">
        <v>288</v>
      </c>
      <c r="G288" s="5">
        <v>59627358</v>
      </c>
      <c r="H288" s="5">
        <v>63831990.75</v>
      </c>
      <c r="I288" s="5">
        <v>66295500</v>
      </c>
      <c r="J288" s="5">
        <v>72753750</v>
      </c>
      <c r="K288" s="5">
        <v>72574525.5</v>
      </c>
      <c r="L288" s="5">
        <v>71666601</v>
      </c>
      <c r="M288" s="5">
        <v>71055000</v>
      </c>
      <c r="N288" s="5">
        <v>63645164.25</v>
      </c>
      <c r="O288" s="5">
        <v>86487751.5</v>
      </c>
      <c r="P288" s="5">
        <v>75186234</v>
      </c>
      <c r="Q288" s="5">
        <v>69953990.25</v>
      </c>
      <c r="R288" s="5">
        <v>68572811.25</v>
      </c>
      <c r="S288" s="5">
        <v>65396250</v>
      </c>
    </row>
    <row r="289" spans="1:19" ht="10.9" customHeight="1" x14ac:dyDescent="0.2">
      <c r="F289" s="12" t="s">
        <v>289</v>
      </c>
      <c r="G289" s="5">
        <v>0</v>
      </c>
      <c r="H289" s="5">
        <v>0</v>
      </c>
      <c r="I289" s="5">
        <v>0</v>
      </c>
      <c r="J289" s="5">
        <v>0</v>
      </c>
      <c r="K289" s="5">
        <v>0</v>
      </c>
      <c r="L289" s="5">
        <v>0</v>
      </c>
      <c r="M289" s="5">
        <v>0</v>
      </c>
      <c r="N289" s="5">
        <v>80136.975000000006</v>
      </c>
      <c r="O289" s="5">
        <v>0</v>
      </c>
      <c r="P289" s="5">
        <v>0</v>
      </c>
      <c r="Q289" s="5">
        <v>0</v>
      </c>
      <c r="R289" s="5">
        <v>0</v>
      </c>
      <c r="S289" s="5">
        <v>0</v>
      </c>
    </row>
    <row r="290" spans="1:19" ht="10.9" customHeight="1" x14ac:dyDescent="0.2">
      <c r="F290" s="12" t="s">
        <v>290</v>
      </c>
      <c r="G290" s="5">
        <v>2602647</v>
      </c>
      <c r="H290" s="5">
        <v>2996707.5</v>
      </c>
      <c r="I290" s="5">
        <v>2996707.5</v>
      </c>
      <c r="J290" s="5">
        <v>2949411</v>
      </c>
      <c r="K290" s="5">
        <v>2949411</v>
      </c>
      <c r="L290" s="5">
        <v>2949411</v>
      </c>
      <c r="M290" s="5">
        <v>2603122.5</v>
      </c>
      <c r="N290" s="5">
        <v>3688806.75</v>
      </c>
      <c r="O290" s="5">
        <v>3198997.5</v>
      </c>
      <c r="P290" s="5">
        <v>3109956.75</v>
      </c>
      <c r="Q290" s="5">
        <v>3109956.75</v>
      </c>
      <c r="R290" s="5">
        <v>2842834.5</v>
      </c>
      <c r="S290" s="5">
        <v>2842834.5</v>
      </c>
    </row>
    <row r="291" spans="1:19" ht="10.9" customHeight="1" x14ac:dyDescent="0.2">
      <c r="F291" s="12" t="s">
        <v>291</v>
      </c>
      <c r="G291" s="5">
        <v>2293080</v>
      </c>
      <c r="H291" s="5">
        <v>2722530</v>
      </c>
      <c r="I291" s="5">
        <v>2640270</v>
      </c>
      <c r="J291" s="5">
        <v>2598600</v>
      </c>
      <c r="K291" s="5">
        <v>2598600</v>
      </c>
      <c r="L291" s="5">
        <v>2598600</v>
      </c>
      <c r="M291" s="5">
        <v>2356950</v>
      </c>
      <c r="N291" s="5">
        <v>2926950</v>
      </c>
      <c r="O291" s="5">
        <v>2926950</v>
      </c>
      <c r="P291" s="5">
        <v>2260050</v>
      </c>
      <c r="Q291" s="5">
        <v>2260050</v>
      </c>
      <c r="R291" s="5">
        <v>2260050</v>
      </c>
      <c r="S291" s="5">
        <v>2181600</v>
      </c>
    </row>
    <row r="292" spans="1:19" ht="10.9" customHeight="1" x14ac:dyDescent="0.2">
      <c r="F292" s="12" t="s">
        <v>292</v>
      </c>
      <c r="G292" s="5">
        <v>9937893</v>
      </c>
      <c r="H292" s="5">
        <v>10638665.25</v>
      </c>
      <c r="I292" s="5">
        <v>11049249.75</v>
      </c>
      <c r="J292" s="5">
        <v>12125625</v>
      </c>
      <c r="K292" s="5">
        <v>12095754</v>
      </c>
      <c r="L292" s="5">
        <v>11944433.25</v>
      </c>
      <c r="M292" s="5">
        <v>11977500</v>
      </c>
      <c r="N292" s="5">
        <v>14889999.75</v>
      </c>
      <c r="O292" s="5">
        <v>18896117.25</v>
      </c>
      <c r="P292" s="5">
        <v>13966250.25</v>
      </c>
      <c r="Q292" s="5">
        <v>13821875.25</v>
      </c>
      <c r="R292" s="5">
        <v>13000374.75</v>
      </c>
      <c r="S292" s="5">
        <v>11517500.25</v>
      </c>
    </row>
    <row r="293" spans="1:19" ht="10.9" customHeight="1" x14ac:dyDescent="0.2">
      <c r="F293" s="12" t="s">
        <v>293</v>
      </c>
      <c r="G293" s="5">
        <v>9450000</v>
      </c>
      <c r="H293" s="5">
        <v>12330000</v>
      </c>
      <c r="I293" s="5">
        <v>4860000</v>
      </c>
      <c r="J293" s="5">
        <v>15840000</v>
      </c>
      <c r="K293" s="5">
        <v>27360000</v>
      </c>
      <c r="L293" s="5">
        <v>36000000</v>
      </c>
      <c r="M293" s="5">
        <v>32040000</v>
      </c>
      <c r="N293" s="5">
        <v>35100000</v>
      </c>
      <c r="O293" s="5">
        <v>20970000</v>
      </c>
      <c r="P293" s="5">
        <v>10800000</v>
      </c>
      <c r="Q293" s="5">
        <v>4140000</v>
      </c>
      <c r="R293" s="5">
        <v>5490000</v>
      </c>
      <c r="S293" s="5">
        <v>6765000</v>
      </c>
    </row>
    <row r="294" spans="1:19" ht="10.9" customHeight="1" x14ac:dyDescent="0.2">
      <c r="F294" s="12" t="s">
        <v>294</v>
      </c>
      <c r="G294" s="5">
        <v>5219305.2450000001</v>
      </c>
      <c r="H294" s="5">
        <v>4533143.1225000005</v>
      </c>
      <c r="I294" s="5">
        <v>5264799.5024999995</v>
      </c>
      <c r="J294" s="5">
        <v>6241475.1299999999</v>
      </c>
      <c r="K294" s="5">
        <v>6492602.0099999998</v>
      </c>
      <c r="L294" s="5">
        <v>6416902.1549999993</v>
      </c>
      <c r="M294" s="5">
        <v>6045155.1374999993</v>
      </c>
      <c r="N294" s="5">
        <v>6204403.1550000003</v>
      </c>
      <c r="O294" s="5">
        <v>5869670.6100000003</v>
      </c>
      <c r="P294" s="5">
        <v>6127424.8874999993</v>
      </c>
      <c r="Q294" s="5">
        <v>6237347.8274999997</v>
      </c>
      <c r="R294" s="5">
        <v>6369450.8625000007</v>
      </c>
      <c r="S294" s="5">
        <v>4973638.9124999996</v>
      </c>
    </row>
    <row r="295" spans="1:19" ht="10.9" customHeight="1" x14ac:dyDescent="0.2">
      <c r="C295" s="13" t="s">
        <v>295</v>
      </c>
      <c r="G295" s="17">
        <f t="shared" ref="G295:S295" si="44">SUM(G288:G294)</f>
        <v>89130283.245000005</v>
      </c>
      <c r="H295" s="17">
        <f t="shared" si="44"/>
        <v>97053036.622500002</v>
      </c>
      <c r="I295" s="17">
        <f t="shared" si="44"/>
        <v>93106526.752499998</v>
      </c>
      <c r="J295" s="17">
        <f t="shared" si="44"/>
        <v>112508861.13</v>
      </c>
      <c r="K295" s="17">
        <f t="shared" si="44"/>
        <v>124070892.51000001</v>
      </c>
      <c r="L295" s="17">
        <f t="shared" si="44"/>
        <v>131575947.405</v>
      </c>
      <c r="M295" s="17">
        <f t="shared" si="44"/>
        <v>126077727.6375</v>
      </c>
      <c r="N295" s="17">
        <f t="shared" si="44"/>
        <v>126535460.88</v>
      </c>
      <c r="O295" s="17">
        <f t="shared" si="44"/>
        <v>138349486.86000001</v>
      </c>
      <c r="P295" s="17">
        <f t="shared" si="44"/>
        <v>111449915.8875</v>
      </c>
      <c r="Q295" s="17">
        <f t="shared" si="44"/>
        <v>99523220.077500001</v>
      </c>
      <c r="R295" s="17">
        <f t="shared" si="44"/>
        <v>98535521.362499997</v>
      </c>
      <c r="S295" s="17">
        <f t="shared" si="44"/>
        <v>93676823.662499994</v>
      </c>
    </row>
    <row r="296" spans="1:19" ht="10.9" customHeight="1" x14ac:dyDescent="0.2">
      <c r="A296" s="11"/>
      <c r="B296" s="11"/>
      <c r="C296" s="11" t="s">
        <v>296</v>
      </c>
      <c r="D296" s="11"/>
      <c r="E296" s="11"/>
      <c r="F296" s="11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</row>
    <row r="297" spans="1:19" ht="10.9" customHeight="1" x14ac:dyDescent="0.2">
      <c r="F297" s="12" t="s">
        <v>297</v>
      </c>
      <c r="G297" s="5">
        <v>10240438.5</v>
      </c>
      <c r="H297" s="5">
        <v>10875000</v>
      </c>
      <c r="I297" s="5">
        <v>11842807.5</v>
      </c>
      <c r="J297" s="5">
        <v>21375000</v>
      </c>
      <c r="K297" s="5">
        <v>21375000</v>
      </c>
      <c r="L297" s="5">
        <v>18933904.5</v>
      </c>
      <c r="M297" s="5">
        <v>8415411.75</v>
      </c>
      <c r="N297" s="5">
        <v>7535907.75</v>
      </c>
      <c r="O297" s="5">
        <v>7828665</v>
      </c>
      <c r="P297" s="5">
        <v>6022500</v>
      </c>
      <c r="Q297" s="5">
        <v>6022500</v>
      </c>
      <c r="R297" s="5">
        <v>6022500</v>
      </c>
      <c r="S297" s="5">
        <v>6613500</v>
      </c>
    </row>
    <row r="298" spans="1:19" ht="10.9" customHeight="1" x14ac:dyDescent="0.2">
      <c r="F298" s="12" t="s">
        <v>298</v>
      </c>
      <c r="G298" s="5">
        <v>0</v>
      </c>
      <c r="H298" s="5">
        <v>0</v>
      </c>
      <c r="I298" s="5">
        <v>0</v>
      </c>
      <c r="J298" s="5">
        <v>0</v>
      </c>
      <c r="K298" s="5">
        <v>0</v>
      </c>
      <c r="L298" s="5">
        <v>0</v>
      </c>
      <c r="M298" s="5">
        <v>412500</v>
      </c>
      <c r="N298" s="5">
        <v>412500</v>
      </c>
      <c r="O298" s="5">
        <v>412500</v>
      </c>
      <c r="P298" s="5">
        <v>0</v>
      </c>
      <c r="Q298" s="5">
        <v>0</v>
      </c>
      <c r="R298" s="5">
        <v>0</v>
      </c>
      <c r="S298" s="5">
        <v>0</v>
      </c>
    </row>
    <row r="299" spans="1:19" ht="10.9" customHeight="1" x14ac:dyDescent="0.2">
      <c r="F299" s="12" t="s">
        <v>299</v>
      </c>
      <c r="G299" s="5">
        <v>493725</v>
      </c>
      <c r="H299" s="5">
        <v>595875</v>
      </c>
      <c r="I299" s="5">
        <v>595875</v>
      </c>
      <c r="J299" s="5">
        <v>970425</v>
      </c>
      <c r="K299" s="5">
        <v>970425</v>
      </c>
      <c r="L299" s="5">
        <v>595875</v>
      </c>
      <c r="M299" s="5">
        <v>184380.75</v>
      </c>
      <c r="N299" s="5">
        <v>388680.75</v>
      </c>
      <c r="O299" s="5">
        <v>286530.75</v>
      </c>
      <c r="P299" s="5">
        <v>286530.75</v>
      </c>
      <c r="Q299" s="5">
        <v>286530.75</v>
      </c>
      <c r="R299" s="5">
        <v>286530.75</v>
      </c>
      <c r="S299" s="5">
        <v>286530.75</v>
      </c>
    </row>
    <row r="300" spans="1:19" ht="10.9" customHeight="1" x14ac:dyDescent="0.2">
      <c r="F300" s="12" t="s">
        <v>300</v>
      </c>
      <c r="G300" s="5">
        <v>435000</v>
      </c>
      <c r="H300" s="5">
        <v>525000</v>
      </c>
      <c r="I300" s="5">
        <v>525000</v>
      </c>
      <c r="J300" s="5">
        <v>855000</v>
      </c>
      <c r="K300" s="5">
        <v>855000</v>
      </c>
      <c r="L300" s="5">
        <v>855000</v>
      </c>
      <c r="M300" s="5">
        <v>252450</v>
      </c>
      <c r="N300" s="5">
        <v>342450</v>
      </c>
      <c r="O300" s="5">
        <v>342450</v>
      </c>
      <c r="P300" s="5">
        <v>252450</v>
      </c>
      <c r="Q300" s="5">
        <v>252450</v>
      </c>
      <c r="R300" s="5">
        <v>252450</v>
      </c>
      <c r="S300" s="5">
        <v>252450</v>
      </c>
    </row>
    <row r="301" spans="1:19" ht="10.9" customHeight="1" x14ac:dyDescent="0.2">
      <c r="F301" s="12" t="s">
        <v>301</v>
      </c>
      <c r="G301" s="5">
        <v>1706739.75</v>
      </c>
      <c r="H301" s="5">
        <v>1812500.25</v>
      </c>
      <c r="I301" s="5">
        <v>1973801.25</v>
      </c>
      <c r="J301" s="5">
        <v>3562500</v>
      </c>
      <c r="K301" s="5">
        <v>3562500</v>
      </c>
      <c r="L301" s="5">
        <v>3155650.5</v>
      </c>
      <c r="M301" s="5">
        <v>1402569</v>
      </c>
      <c r="N301" s="5">
        <v>1878750</v>
      </c>
      <c r="O301" s="5">
        <v>1378749.75</v>
      </c>
      <c r="P301" s="5">
        <v>1003749.75</v>
      </c>
      <c r="Q301" s="5">
        <v>1003749.75</v>
      </c>
      <c r="R301" s="5">
        <v>1003749.75</v>
      </c>
      <c r="S301" s="5">
        <v>1051875</v>
      </c>
    </row>
    <row r="302" spans="1:19" ht="10.9" customHeight="1" x14ac:dyDescent="0.2">
      <c r="F302" s="12" t="s">
        <v>302</v>
      </c>
      <c r="G302" s="5">
        <v>4140000</v>
      </c>
      <c r="H302" s="5">
        <v>3240000</v>
      </c>
      <c r="I302" s="5">
        <v>1170000</v>
      </c>
      <c r="J302" s="5">
        <v>2970000</v>
      </c>
      <c r="K302" s="5">
        <v>7020000</v>
      </c>
      <c r="L302" s="5">
        <v>5580000</v>
      </c>
      <c r="M302" s="5">
        <v>3330000</v>
      </c>
      <c r="N302" s="5">
        <v>0</v>
      </c>
      <c r="O302" s="5">
        <v>0</v>
      </c>
      <c r="P302" s="5">
        <v>0</v>
      </c>
      <c r="Q302" s="5">
        <v>0</v>
      </c>
      <c r="R302" s="5">
        <v>0</v>
      </c>
      <c r="S302" s="5">
        <v>0</v>
      </c>
    </row>
    <row r="303" spans="1:19" ht="10.9" customHeight="1" x14ac:dyDescent="0.2">
      <c r="F303" s="12" t="s">
        <v>303</v>
      </c>
      <c r="G303" s="5">
        <v>1125712.9949999999</v>
      </c>
      <c r="H303" s="5">
        <v>962742.25500000012</v>
      </c>
      <c r="I303" s="5">
        <v>1126980.5024999999</v>
      </c>
      <c r="J303" s="5">
        <v>1739580.6375000002</v>
      </c>
      <c r="K303" s="5">
        <v>2256490.3875000002</v>
      </c>
      <c r="L303" s="5">
        <v>2667846.0300000003</v>
      </c>
      <c r="M303" s="5">
        <v>3308893.3874999997</v>
      </c>
      <c r="N303" s="5">
        <v>3572186.6475</v>
      </c>
      <c r="O303" s="5">
        <v>3077866.11</v>
      </c>
      <c r="P303" s="5">
        <v>1178013.6375000002</v>
      </c>
      <c r="Q303" s="5">
        <v>1137301.3275000001</v>
      </c>
      <c r="R303" s="5">
        <v>1009514.3624999999</v>
      </c>
      <c r="S303" s="5">
        <v>840149.625</v>
      </c>
    </row>
    <row r="304" spans="1:19" ht="10.9" customHeight="1" x14ac:dyDescent="0.2">
      <c r="C304" s="13" t="s">
        <v>304</v>
      </c>
      <c r="G304" s="17">
        <f t="shared" ref="G304:S304" si="45">SUM(G297:G303)</f>
        <v>18141616.245000001</v>
      </c>
      <c r="H304" s="17">
        <f t="shared" si="45"/>
        <v>18011117.504999999</v>
      </c>
      <c r="I304" s="17">
        <f t="shared" si="45"/>
        <v>17234464.252500001</v>
      </c>
      <c r="J304" s="17">
        <f t="shared" si="45"/>
        <v>31472505.637499999</v>
      </c>
      <c r="K304" s="17">
        <f t="shared" si="45"/>
        <v>36039415.387500003</v>
      </c>
      <c r="L304" s="17">
        <f t="shared" si="45"/>
        <v>31788276.030000001</v>
      </c>
      <c r="M304" s="17">
        <f t="shared" si="45"/>
        <v>17306204.887499999</v>
      </c>
      <c r="N304" s="17">
        <f t="shared" si="45"/>
        <v>14130475.147500001</v>
      </c>
      <c r="O304" s="17">
        <f t="shared" si="45"/>
        <v>13326761.609999999</v>
      </c>
      <c r="P304" s="17">
        <f t="shared" si="45"/>
        <v>8743244.1374999993</v>
      </c>
      <c r="Q304" s="17">
        <f t="shared" si="45"/>
        <v>8702531.8275000006</v>
      </c>
      <c r="R304" s="17">
        <f t="shared" si="45"/>
        <v>8574744.8625000007</v>
      </c>
      <c r="S304" s="17">
        <f t="shared" si="45"/>
        <v>9044505.375</v>
      </c>
    </row>
    <row r="305" spans="1:19" ht="10.9" customHeight="1" x14ac:dyDescent="0.2">
      <c r="B305" s="13" t="s">
        <v>305</v>
      </c>
      <c r="G305" s="17">
        <f t="shared" ref="G305:S305" si="46">(0 + ((G286 + G295) + G304))</f>
        <v>232304596.98000002</v>
      </c>
      <c r="H305" s="17">
        <f t="shared" si="46"/>
        <v>253475906.1225</v>
      </c>
      <c r="I305" s="17">
        <f t="shared" si="46"/>
        <v>238538284.25999999</v>
      </c>
      <c r="J305" s="17">
        <f t="shared" si="46"/>
        <v>266379161.52749997</v>
      </c>
      <c r="K305" s="17">
        <f t="shared" si="46"/>
        <v>291210737.04750001</v>
      </c>
      <c r="L305" s="17">
        <f t="shared" si="46"/>
        <v>317730058.62</v>
      </c>
      <c r="M305" s="17">
        <f t="shared" si="46"/>
        <v>282928563.30000001</v>
      </c>
      <c r="N305" s="17">
        <f t="shared" si="46"/>
        <v>291816037.08749998</v>
      </c>
      <c r="O305" s="17">
        <f t="shared" si="46"/>
        <v>293006067.69000006</v>
      </c>
      <c r="P305" s="17">
        <f t="shared" si="46"/>
        <v>238276693.80000001</v>
      </c>
      <c r="Q305" s="17">
        <f t="shared" si="46"/>
        <v>215164845.06</v>
      </c>
      <c r="R305" s="17">
        <f t="shared" si="46"/>
        <v>248802901.94999999</v>
      </c>
      <c r="S305" s="17">
        <f t="shared" si="46"/>
        <v>232587129.86249998</v>
      </c>
    </row>
    <row r="306" spans="1:19" ht="10.9" customHeight="1" x14ac:dyDescent="0.2">
      <c r="A306" s="11"/>
      <c r="B306" s="11" t="s">
        <v>306</v>
      </c>
      <c r="C306" s="11"/>
      <c r="D306" s="11"/>
      <c r="E306" s="11"/>
      <c r="F306" s="11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</row>
    <row r="307" spans="1:19" ht="10.9" customHeight="1" x14ac:dyDescent="0.2">
      <c r="A307" s="11"/>
      <c r="B307" s="11"/>
      <c r="C307" s="11" t="s">
        <v>307</v>
      </c>
      <c r="D307" s="11"/>
      <c r="E307" s="11"/>
      <c r="F307" s="11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</row>
    <row r="308" spans="1:19" ht="10.9" customHeight="1" x14ac:dyDescent="0.2">
      <c r="A308" s="11"/>
      <c r="B308" s="11"/>
      <c r="C308" s="11"/>
      <c r="D308" s="11" t="s">
        <v>308</v>
      </c>
      <c r="E308" s="11"/>
      <c r="F308" s="11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</row>
    <row r="309" spans="1:19" ht="10.9" customHeight="1" x14ac:dyDescent="0.2">
      <c r="F309" s="12" t="s">
        <v>309</v>
      </c>
      <c r="G309" s="5">
        <v>51208500</v>
      </c>
      <c r="H309" s="5">
        <v>49312500</v>
      </c>
      <c r="I309" s="5">
        <v>49312500</v>
      </c>
      <c r="J309" s="5">
        <v>48263928.75</v>
      </c>
      <c r="K309" s="5">
        <v>46312500</v>
      </c>
      <c r="L309" s="5">
        <v>46190028</v>
      </c>
      <c r="M309" s="5">
        <v>-23745291.75</v>
      </c>
      <c r="N309" s="5">
        <v>78687281.25</v>
      </c>
      <c r="O309" s="5">
        <v>77447774.25</v>
      </c>
      <c r="P309" s="5">
        <v>66455357.25</v>
      </c>
      <c r="Q309" s="5">
        <v>65812500</v>
      </c>
      <c r="R309" s="5">
        <v>65812500</v>
      </c>
      <c r="S309" s="5">
        <v>66583500</v>
      </c>
    </row>
    <row r="310" spans="1:19" ht="10.9" customHeight="1" x14ac:dyDescent="0.2">
      <c r="F310" s="12" t="s">
        <v>310</v>
      </c>
      <c r="G310" s="5">
        <v>5704440.75</v>
      </c>
      <c r="H310" s="5">
        <v>1510284.75</v>
      </c>
      <c r="I310" s="5">
        <v>3200509.5</v>
      </c>
      <c r="J310" s="5">
        <v>-840085.5</v>
      </c>
      <c r="K310" s="5">
        <v>1572938.25</v>
      </c>
      <c r="L310" s="5">
        <v>1555780.5</v>
      </c>
      <c r="M310" s="5">
        <v>-6886677.75</v>
      </c>
      <c r="N310" s="5">
        <v>6816507.75</v>
      </c>
      <c r="O310" s="5">
        <v>6474373.5</v>
      </c>
      <c r="P310" s="5">
        <v>6457161</v>
      </c>
      <c r="Q310" s="5">
        <v>6419610.75</v>
      </c>
      <c r="R310" s="5">
        <v>6182994.75</v>
      </c>
      <c r="S310" s="5">
        <v>15229314.75</v>
      </c>
    </row>
    <row r="311" spans="1:19" ht="10.9" customHeight="1" x14ac:dyDescent="0.2">
      <c r="F311" s="12" t="s">
        <v>311</v>
      </c>
      <c r="G311" s="5">
        <v>2160112.5</v>
      </c>
      <c r="H311" s="5">
        <v>2977312.5</v>
      </c>
      <c r="I311" s="5">
        <v>2160112.5</v>
      </c>
      <c r="J311" s="5">
        <v>2610112.5</v>
      </c>
      <c r="K311" s="5">
        <v>2023912.5</v>
      </c>
      <c r="L311" s="5">
        <v>1972837.5</v>
      </c>
      <c r="M311" s="5">
        <v>-619852.5</v>
      </c>
      <c r="N311" s="5">
        <v>3363997.5</v>
      </c>
      <c r="O311" s="5">
        <v>2853247.5</v>
      </c>
      <c r="P311" s="5">
        <v>2853247.5</v>
      </c>
      <c r="Q311" s="5">
        <v>2802172.5</v>
      </c>
      <c r="R311" s="5">
        <v>2802172.5</v>
      </c>
      <c r="S311" s="5">
        <v>2802172.5</v>
      </c>
    </row>
    <row r="312" spans="1:19" ht="10.9" customHeight="1" x14ac:dyDescent="0.2">
      <c r="F312" s="12" t="s">
        <v>312</v>
      </c>
      <c r="G312" s="5">
        <v>1441500</v>
      </c>
      <c r="H312" s="5">
        <v>1657500</v>
      </c>
      <c r="I312" s="5">
        <v>1441500</v>
      </c>
      <c r="J312" s="5">
        <v>1441500</v>
      </c>
      <c r="K312" s="5">
        <v>1405500</v>
      </c>
      <c r="L312" s="5">
        <v>1405500</v>
      </c>
      <c r="M312" s="5">
        <v>259500</v>
      </c>
      <c r="N312" s="5">
        <v>1987500</v>
      </c>
      <c r="O312" s="5">
        <v>1987500</v>
      </c>
      <c r="P312" s="5">
        <v>1627500</v>
      </c>
      <c r="Q312" s="5">
        <v>1582500</v>
      </c>
      <c r="R312" s="5">
        <v>1582500</v>
      </c>
      <c r="S312" s="5">
        <v>1582500</v>
      </c>
    </row>
    <row r="313" spans="1:19" ht="10.9" customHeight="1" x14ac:dyDescent="0.2">
      <c r="F313" s="12" t="s">
        <v>313</v>
      </c>
      <c r="G313" s="5">
        <v>8534750.25</v>
      </c>
      <c r="H313" s="5">
        <v>8218749.75</v>
      </c>
      <c r="I313" s="5">
        <v>8218749.75</v>
      </c>
      <c r="J313" s="5">
        <v>8043988.5</v>
      </c>
      <c r="K313" s="5">
        <v>7718750.25</v>
      </c>
      <c r="L313" s="5">
        <v>7698338.25</v>
      </c>
      <c r="M313" s="5">
        <v>13298750.25</v>
      </c>
      <c r="N313" s="5">
        <v>13031250</v>
      </c>
      <c r="O313" s="5">
        <v>13031250</v>
      </c>
      <c r="P313" s="5">
        <v>11156250</v>
      </c>
      <c r="Q313" s="5">
        <v>10968750</v>
      </c>
      <c r="R313" s="5">
        <v>10968750</v>
      </c>
      <c r="S313" s="5">
        <v>10843749.75</v>
      </c>
    </row>
    <row r="314" spans="1:19" ht="10.9" customHeight="1" x14ac:dyDescent="0.2">
      <c r="F314" s="12" t="s">
        <v>314</v>
      </c>
      <c r="G314" s="5">
        <v>1948005.4950000001</v>
      </c>
      <c r="H314" s="5">
        <v>1736365.7475000001</v>
      </c>
      <c r="I314" s="5">
        <v>2467460.0024999999</v>
      </c>
      <c r="J314" s="5">
        <v>3202280.13</v>
      </c>
      <c r="K314" s="5">
        <v>4261351.8899999997</v>
      </c>
      <c r="L314" s="5">
        <v>4529717.28</v>
      </c>
      <c r="M314" s="5">
        <v>3903456.9749999996</v>
      </c>
      <c r="N314" s="5">
        <v>4391344.1550000003</v>
      </c>
      <c r="O314" s="5">
        <v>4395416.2350000003</v>
      </c>
      <c r="P314" s="5">
        <v>3731499.6374999997</v>
      </c>
      <c r="Q314" s="5">
        <v>5975846.0774999997</v>
      </c>
      <c r="R314" s="5">
        <v>5030169.1125000007</v>
      </c>
      <c r="S314" s="5">
        <v>4590445.9124999996</v>
      </c>
    </row>
    <row r="315" spans="1:19" ht="10.9" customHeight="1" x14ac:dyDescent="0.2">
      <c r="D315" s="13" t="s">
        <v>315</v>
      </c>
      <c r="G315" s="17">
        <f t="shared" ref="G315:S315" si="47">SUM(G309:G314)</f>
        <v>70997308.995000005</v>
      </c>
      <c r="H315" s="17">
        <f t="shared" si="47"/>
        <v>65412712.747500002</v>
      </c>
      <c r="I315" s="17">
        <f t="shared" si="47"/>
        <v>66800831.752499998</v>
      </c>
      <c r="J315" s="17">
        <f t="shared" si="47"/>
        <v>62721724.380000003</v>
      </c>
      <c r="K315" s="17">
        <f t="shared" si="47"/>
        <v>63294952.890000001</v>
      </c>
      <c r="L315" s="17">
        <f t="shared" si="47"/>
        <v>63352201.530000001</v>
      </c>
      <c r="M315" s="17">
        <f t="shared" si="47"/>
        <v>-13790114.775</v>
      </c>
      <c r="N315" s="17">
        <f t="shared" si="47"/>
        <v>108277880.655</v>
      </c>
      <c r="O315" s="17">
        <f t="shared" si="47"/>
        <v>106189561.485</v>
      </c>
      <c r="P315" s="17">
        <f t="shared" si="47"/>
        <v>92281015.387500003</v>
      </c>
      <c r="Q315" s="17">
        <f t="shared" si="47"/>
        <v>93561379.327500001</v>
      </c>
      <c r="R315" s="17">
        <f t="shared" si="47"/>
        <v>92379086.362499997</v>
      </c>
      <c r="S315" s="17">
        <f t="shared" si="47"/>
        <v>101631682.91249999</v>
      </c>
    </row>
    <row r="316" spans="1:19" ht="10.9" customHeight="1" x14ac:dyDescent="0.2">
      <c r="A316" s="11"/>
      <c r="B316" s="11"/>
      <c r="C316" s="11"/>
      <c r="D316" s="11" t="s">
        <v>307</v>
      </c>
      <c r="E316" s="11"/>
      <c r="F316" s="11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</row>
    <row r="317" spans="1:19" ht="10.9" customHeight="1" x14ac:dyDescent="0.2">
      <c r="F317" s="12" t="s">
        <v>316</v>
      </c>
      <c r="G317" s="5">
        <v>27954750</v>
      </c>
      <c r="H317" s="5">
        <v>27750000</v>
      </c>
      <c r="I317" s="5">
        <v>27750000</v>
      </c>
      <c r="J317" s="5">
        <v>27527778</v>
      </c>
      <c r="K317" s="5">
        <v>27000000</v>
      </c>
      <c r="L317" s="5">
        <v>27000000</v>
      </c>
      <c r="M317" s="5">
        <v>25668493.5</v>
      </c>
      <c r="N317" s="5">
        <v>22500000</v>
      </c>
      <c r="O317" s="5">
        <v>18750000</v>
      </c>
      <c r="P317" s="5">
        <v>18750000</v>
      </c>
      <c r="Q317" s="5">
        <v>18750000</v>
      </c>
      <c r="R317" s="5">
        <v>18750000</v>
      </c>
      <c r="S317" s="5">
        <v>19335000</v>
      </c>
    </row>
    <row r="318" spans="1:19" ht="10.9" customHeight="1" x14ac:dyDescent="0.2">
      <c r="F318" s="12" t="s">
        <v>317</v>
      </c>
      <c r="G318" s="5">
        <v>1225800</v>
      </c>
      <c r="H318" s="5">
        <v>1225800</v>
      </c>
      <c r="I318" s="5">
        <v>1225800</v>
      </c>
      <c r="J318" s="5">
        <v>1225800</v>
      </c>
      <c r="K318" s="5">
        <v>1225800</v>
      </c>
      <c r="L318" s="5">
        <v>1225800</v>
      </c>
      <c r="M318" s="5">
        <v>851250</v>
      </c>
      <c r="N318" s="5">
        <v>851250</v>
      </c>
      <c r="O318" s="5">
        <v>851250</v>
      </c>
      <c r="P318" s="5">
        <v>851250</v>
      </c>
      <c r="Q318" s="5">
        <v>851250</v>
      </c>
      <c r="R318" s="5">
        <v>851250</v>
      </c>
      <c r="S318" s="5">
        <v>851250</v>
      </c>
    </row>
    <row r="319" spans="1:19" ht="10.9" customHeight="1" x14ac:dyDescent="0.2">
      <c r="F319" s="12" t="s">
        <v>318</v>
      </c>
      <c r="G319" s="5">
        <v>540000</v>
      </c>
      <c r="H319" s="5">
        <v>540000</v>
      </c>
      <c r="I319" s="5">
        <v>540000</v>
      </c>
      <c r="J319" s="5">
        <v>540000</v>
      </c>
      <c r="K319" s="5">
        <v>540000</v>
      </c>
      <c r="L319" s="5">
        <v>540000</v>
      </c>
      <c r="M319" s="5">
        <v>540000</v>
      </c>
      <c r="N319" s="5">
        <v>360000</v>
      </c>
      <c r="O319" s="5">
        <v>360000</v>
      </c>
      <c r="P319" s="5">
        <v>360000</v>
      </c>
      <c r="Q319" s="5">
        <v>360000</v>
      </c>
      <c r="R319" s="5">
        <v>360000</v>
      </c>
      <c r="S319" s="5">
        <v>360000</v>
      </c>
    </row>
    <row r="320" spans="1:19" ht="10.9" customHeight="1" x14ac:dyDescent="0.2">
      <c r="F320" s="12" t="s">
        <v>319</v>
      </c>
      <c r="G320" s="5">
        <v>4659125.25</v>
      </c>
      <c r="H320" s="5">
        <v>4625000.25</v>
      </c>
      <c r="I320" s="5">
        <v>4625000.25</v>
      </c>
      <c r="J320" s="5">
        <v>4587963</v>
      </c>
      <c r="K320" s="5">
        <v>4500000</v>
      </c>
      <c r="L320" s="5">
        <v>4500000</v>
      </c>
      <c r="M320" s="5">
        <v>4278082.5</v>
      </c>
      <c r="N320" s="5">
        <v>3750000</v>
      </c>
      <c r="O320" s="5">
        <v>3125000.25</v>
      </c>
      <c r="P320" s="5">
        <v>3125000.25</v>
      </c>
      <c r="Q320" s="5">
        <v>3125000.25</v>
      </c>
      <c r="R320" s="5">
        <v>3125000.25</v>
      </c>
      <c r="S320" s="5">
        <v>3125000.25</v>
      </c>
    </row>
    <row r="321" spans="1:19" ht="10.9" customHeight="1" x14ac:dyDescent="0.2">
      <c r="F321" s="12" t="s">
        <v>320</v>
      </c>
      <c r="G321" s="5">
        <v>1440000</v>
      </c>
      <c r="H321" s="5">
        <v>1260000</v>
      </c>
      <c r="I321" s="5">
        <v>990000</v>
      </c>
      <c r="J321" s="5">
        <v>1170000</v>
      </c>
      <c r="K321" s="5">
        <v>2070000</v>
      </c>
      <c r="L321" s="5">
        <v>1890000</v>
      </c>
      <c r="M321" s="5">
        <v>2160000</v>
      </c>
      <c r="N321" s="5">
        <v>1980000</v>
      </c>
      <c r="O321" s="5">
        <v>2520000</v>
      </c>
      <c r="P321" s="5">
        <v>2340000</v>
      </c>
      <c r="Q321" s="5">
        <v>2160000</v>
      </c>
      <c r="R321" s="5">
        <v>2340000</v>
      </c>
      <c r="S321" s="5">
        <v>1923750</v>
      </c>
    </row>
    <row r="322" spans="1:19" ht="10.9" customHeight="1" x14ac:dyDescent="0.2">
      <c r="F322" s="12" t="s">
        <v>321</v>
      </c>
      <c r="G322" s="5">
        <v>2000278.5</v>
      </c>
      <c r="H322" s="5">
        <v>3124807.5</v>
      </c>
      <c r="I322" s="5">
        <v>4291781.25</v>
      </c>
      <c r="J322" s="5">
        <v>2735182.5</v>
      </c>
      <c r="K322" s="5">
        <v>2252331</v>
      </c>
      <c r="L322" s="5">
        <v>3096373.5</v>
      </c>
      <c r="M322" s="5">
        <v>4956391.0200000005</v>
      </c>
      <c r="N322" s="5">
        <v>2411504.1375000002</v>
      </c>
      <c r="O322" s="5">
        <v>1408365</v>
      </c>
      <c r="P322" s="5">
        <v>1910478.75</v>
      </c>
      <c r="Q322" s="5">
        <v>1073670</v>
      </c>
      <c r="R322" s="5">
        <v>2060812.5</v>
      </c>
      <c r="S322" s="5">
        <v>3297322.5</v>
      </c>
    </row>
    <row r="323" spans="1:19" ht="10.9" customHeight="1" x14ac:dyDescent="0.2">
      <c r="F323" s="12" t="s">
        <v>322</v>
      </c>
      <c r="G323" s="5">
        <v>0</v>
      </c>
      <c r="H323" s="5">
        <v>0</v>
      </c>
      <c r="I323" s="5">
        <v>0</v>
      </c>
      <c r="J323" s="5">
        <v>105000</v>
      </c>
      <c r="K323" s="5">
        <v>0</v>
      </c>
      <c r="L323" s="5">
        <v>0</v>
      </c>
      <c r="M323" s="5">
        <v>0</v>
      </c>
      <c r="N323" s="5">
        <v>0</v>
      </c>
      <c r="O323" s="5">
        <v>0</v>
      </c>
      <c r="P323" s="5">
        <v>0</v>
      </c>
      <c r="Q323" s="5">
        <v>0</v>
      </c>
      <c r="R323" s="5">
        <v>0</v>
      </c>
      <c r="S323" s="5">
        <v>0</v>
      </c>
    </row>
    <row r="324" spans="1:19" ht="10.9" customHeight="1" x14ac:dyDescent="0.2">
      <c r="D324" s="13" t="s">
        <v>323</v>
      </c>
      <c r="G324" s="17">
        <f t="shared" ref="G324:S324" si="48">SUM(G317:G323)</f>
        <v>37819953.75</v>
      </c>
      <c r="H324" s="17">
        <f t="shared" si="48"/>
        <v>38525607.75</v>
      </c>
      <c r="I324" s="17">
        <f t="shared" si="48"/>
        <v>39422581.5</v>
      </c>
      <c r="J324" s="17">
        <f t="shared" si="48"/>
        <v>37891723.5</v>
      </c>
      <c r="K324" s="17">
        <f t="shared" si="48"/>
        <v>37588131</v>
      </c>
      <c r="L324" s="17">
        <f t="shared" si="48"/>
        <v>38252173.5</v>
      </c>
      <c r="M324" s="17">
        <f t="shared" si="48"/>
        <v>38454217.020000003</v>
      </c>
      <c r="N324" s="17">
        <f t="shared" si="48"/>
        <v>31852754.137499999</v>
      </c>
      <c r="O324" s="17">
        <f t="shared" si="48"/>
        <v>27014615.25</v>
      </c>
      <c r="P324" s="17">
        <f t="shared" si="48"/>
        <v>27336729</v>
      </c>
      <c r="Q324" s="17">
        <f t="shared" si="48"/>
        <v>26319920.25</v>
      </c>
      <c r="R324" s="17">
        <f t="shared" si="48"/>
        <v>27487062.75</v>
      </c>
      <c r="S324" s="17">
        <f t="shared" si="48"/>
        <v>28892322.75</v>
      </c>
    </row>
    <row r="325" spans="1:19" ht="10.9" customHeight="1" x14ac:dyDescent="0.2">
      <c r="A325" s="11"/>
      <c r="B325" s="11"/>
      <c r="C325" s="11"/>
      <c r="D325" s="11" t="s">
        <v>324</v>
      </c>
      <c r="E325" s="11"/>
      <c r="F325" s="11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</row>
    <row r="326" spans="1:19" ht="10.9" customHeight="1" x14ac:dyDescent="0.2">
      <c r="F326" s="12" t="s">
        <v>325</v>
      </c>
      <c r="G326" s="5">
        <v>4786425</v>
      </c>
      <c r="H326" s="5">
        <v>4725000</v>
      </c>
      <c r="I326" s="5">
        <v>4725000</v>
      </c>
      <c r="J326" s="5">
        <v>3585456.75</v>
      </c>
      <c r="K326" s="5">
        <v>4725000</v>
      </c>
      <c r="L326" s="5">
        <v>9675000</v>
      </c>
      <c r="M326" s="5">
        <v>-59860302.75</v>
      </c>
      <c r="N326" s="5">
        <v>19500000</v>
      </c>
      <c r="O326" s="5">
        <v>19500000</v>
      </c>
      <c r="P326" s="5">
        <v>19260000</v>
      </c>
      <c r="Q326" s="5">
        <v>18750000</v>
      </c>
      <c r="R326" s="5">
        <v>18750000</v>
      </c>
      <c r="S326" s="5">
        <v>17927465.25</v>
      </c>
    </row>
    <row r="327" spans="1:19" ht="10.9" customHeight="1" x14ac:dyDescent="0.2">
      <c r="F327" s="12" t="s">
        <v>326</v>
      </c>
      <c r="G327" s="5">
        <v>214515</v>
      </c>
      <c r="H327" s="5">
        <v>715050</v>
      </c>
      <c r="I327" s="5">
        <v>214515</v>
      </c>
      <c r="J327" s="5">
        <v>370440</v>
      </c>
      <c r="K327" s="5">
        <v>214515</v>
      </c>
      <c r="L327" s="5">
        <v>408600</v>
      </c>
      <c r="M327" s="5">
        <v>-2928300</v>
      </c>
      <c r="N327" s="5">
        <v>885300</v>
      </c>
      <c r="O327" s="5">
        <v>885300</v>
      </c>
      <c r="P327" s="5">
        <v>885300</v>
      </c>
      <c r="Q327" s="5">
        <v>851250</v>
      </c>
      <c r="R327" s="5">
        <v>851250</v>
      </c>
      <c r="S327" s="5">
        <v>681000</v>
      </c>
    </row>
    <row r="328" spans="1:19" ht="10.9" customHeight="1" x14ac:dyDescent="0.2">
      <c r="F328" s="12" t="s">
        <v>327</v>
      </c>
      <c r="G328" s="5">
        <v>108000</v>
      </c>
      <c r="H328" s="5">
        <v>360000</v>
      </c>
      <c r="I328" s="5">
        <v>108000</v>
      </c>
      <c r="J328" s="5">
        <v>108000</v>
      </c>
      <c r="K328" s="5">
        <v>108000</v>
      </c>
      <c r="L328" s="5">
        <v>288000</v>
      </c>
      <c r="M328" s="5">
        <v>-1476000</v>
      </c>
      <c r="N328" s="5">
        <v>540000</v>
      </c>
      <c r="O328" s="5">
        <v>540000</v>
      </c>
      <c r="P328" s="5">
        <v>540000</v>
      </c>
      <c r="Q328" s="5">
        <v>510000</v>
      </c>
      <c r="R328" s="5">
        <v>510000</v>
      </c>
      <c r="S328" s="5">
        <v>510000</v>
      </c>
    </row>
    <row r="329" spans="1:19" ht="10.9" customHeight="1" x14ac:dyDescent="0.2">
      <c r="F329" s="12" t="s">
        <v>328</v>
      </c>
      <c r="G329" s="5">
        <v>797737.5</v>
      </c>
      <c r="H329" s="5">
        <v>787500</v>
      </c>
      <c r="I329" s="5">
        <v>787500</v>
      </c>
      <c r="J329" s="5">
        <v>597576</v>
      </c>
      <c r="K329" s="5">
        <v>787500</v>
      </c>
      <c r="L329" s="5">
        <v>1612500</v>
      </c>
      <c r="M329" s="5">
        <v>3249999.75</v>
      </c>
      <c r="N329" s="5">
        <v>3249999.75</v>
      </c>
      <c r="O329" s="5">
        <v>3249999.75</v>
      </c>
      <c r="P329" s="5">
        <v>3249999.75</v>
      </c>
      <c r="Q329" s="5">
        <v>3125000.25</v>
      </c>
      <c r="R329" s="5">
        <v>3125000.25</v>
      </c>
      <c r="S329" s="5">
        <v>3750000</v>
      </c>
    </row>
    <row r="330" spans="1:19" ht="10.9" customHeight="1" x14ac:dyDescent="0.2">
      <c r="F330" s="12" t="s">
        <v>329</v>
      </c>
      <c r="G330" s="5">
        <v>1130935.2449999999</v>
      </c>
      <c r="H330" s="5">
        <v>835823.49750000006</v>
      </c>
      <c r="I330" s="5">
        <v>1180526.0024999999</v>
      </c>
      <c r="J330" s="5">
        <v>1798311.63</v>
      </c>
      <c r="K330" s="5">
        <v>2422576.3875000002</v>
      </c>
      <c r="L330" s="5">
        <v>3393874.5300000003</v>
      </c>
      <c r="M330" s="5">
        <v>2455483.3875000002</v>
      </c>
      <c r="N330" s="5">
        <v>2977971.4050000003</v>
      </c>
      <c r="O330" s="5">
        <v>2108089.11</v>
      </c>
      <c r="P330" s="5">
        <v>2657959.3875000002</v>
      </c>
      <c r="Q330" s="5">
        <v>3205937.8274999997</v>
      </c>
      <c r="R330" s="5">
        <v>2969595.8624999998</v>
      </c>
      <c r="S330" s="5">
        <v>3212423.6624999996</v>
      </c>
    </row>
    <row r="331" spans="1:19" ht="10.9" customHeight="1" x14ac:dyDescent="0.2">
      <c r="D331" s="13" t="s">
        <v>330</v>
      </c>
      <c r="G331" s="17">
        <f t="shared" ref="G331:S331" si="49">SUM(G326:G330)</f>
        <v>7037612.7450000001</v>
      </c>
      <c r="H331" s="17">
        <f t="shared" si="49"/>
        <v>7423373.4975000005</v>
      </c>
      <c r="I331" s="17">
        <f t="shared" si="49"/>
        <v>7015541.0024999995</v>
      </c>
      <c r="J331" s="17">
        <f t="shared" si="49"/>
        <v>6459784.3799999999</v>
      </c>
      <c r="K331" s="17">
        <f t="shared" si="49"/>
        <v>8257591.3875000002</v>
      </c>
      <c r="L331" s="17">
        <f t="shared" si="49"/>
        <v>15377974.530000001</v>
      </c>
      <c r="M331" s="17">
        <f t="shared" si="49"/>
        <v>-58559119.612499997</v>
      </c>
      <c r="N331" s="17">
        <f t="shared" si="49"/>
        <v>27153271.155000001</v>
      </c>
      <c r="O331" s="17">
        <f t="shared" si="49"/>
        <v>26283388.859999999</v>
      </c>
      <c r="P331" s="17">
        <f t="shared" si="49"/>
        <v>26593259.137499999</v>
      </c>
      <c r="Q331" s="17">
        <f t="shared" si="49"/>
        <v>26442188.077500001</v>
      </c>
      <c r="R331" s="17">
        <f t="shared" si="49"/>
        <v>26205846.112500001</v>
      </c>
      <c r="S331" s="17">
        <f t="shared" si="49"/>
        <v>26080888.912500001</v>
      </c>
    </row>
    <row r="332" spans="1:19" ht="10.9" customHeight="1" x14ac:dyDescent="0.2">
      <c r="A332" s="11"/>
      <c r="B332" s="11"/>
      <c r="C332" s="11"/>
      <c r="D332" s="11" t="s">
        <v>331</v>
      </c>
      <c r="E332" s="11"/>
      <c r="F332" s="11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</row>
    <row r="333" spans="1:19" ht="10.9" customHeight="1" x14ac:dyDescent="0.2">
      <c r="F333" s="12" t="s">
        <v>332</v>
      </c>
      <c r="G333" s="5">
        <v>14640144</v>
      </c>
      <c r="H333" s="5">
        <v>14055144</v>
      </c>
      <c r="I333" s="5">
        <v>14055144</v>
      </c>
      <c r="J333" s="5">
        <v>13305144</v>
      </c>
      <c r="K333" s="5">
        <v>13305144</v>
      </c>
      <c r="L333" s="5">
        <v>13305144</v>
      </c>
      <c r="M333" s="5">
        <v>45734689.5</v>
      </c>
      <c r="N333" s="5">
        <v>8625000</v>
      </c>
      <c r="O333" s="5">
        <v>8625000</v>
      </c>
      <c r="P333" s="5">
        <v>8625000</v>
      </c>
      <c r="Q333" s="5">
        <v>8625000</v>
      </c>
      <c r="R333" s="5">
        <v>8625000</v>
      </c>
      <c r="S333" s="5">
        <v>8625000</v>
      </c>
    </row>
    <row r="334" spans="1:19" ht="10.9" customHeight="1" x14ac:dyDescent="0.2">
      <c r="F334" s="12" t="s">
        <v>333</v>
      </c>
      <c r="G334" s="5">
        <v>425625</v>
      </c>
      <c r="H334" s="5">
        <v>425625</v>
      </c>
      <c r="I334" s="5">
        <v>425625</v>
      </c>
      <c r="J334" s="5">
        <v>391575</v>
      </c>
      <c r="K334" s="5">
        <v>391575</v>
      </c>
      <c r="L334" s="5">
        <v>391575</v>
      </c>
      <c r="M334" s="5">
        <v>340500</v>
      </c>
      <c r="N334" s="5">
        <v>340500</v>
      </c>
      <c r="O334" s="5">
        <v>340500</v>
      </c>
      <c r="P334" s="5">
        <v>340500</v>
      </c>
      <c r="Q334" s="5">
        <v>340500</v>
      </c>
      <c r="R334" s="5">
        <v>340500</v>
      </c>
      <c r="S334" s="5">
        <v>340500</v>
      </c>
    </row>
    <row r="335" spans="1:19" ht="10.9" customHeight="1" x14ac:dyDescent="0.2">
      <c r="F335" s="12" t="s">
        <v>334</v>
      </c>
      <c r="G335" s="5">
        <v>375000</v>
      </c>
      <c r="H335" s="5">
        <v>375000</v>
      </c>
      <c r="I335" s="5">
        <v>375000</v>
      </c>
      <c r="J335" s="5">
        <v>345000</v>
      </c>
      <c r="K335" s="5">
        <v>345000</v>
      </c>
      <c r="L335" s="5">
        <v>345000</v>
      </c>
      <c r="M335" s="5">
        <v>300000</v>
      </c>
      <c r="N335" s="5">
        <v>300000</v>
      </c>
      <c r="O335" s="5">
        <v>300000</v>
      </c>
      <c r="P335" s="5">
        <v>300000</v>
      </c>
      <c r="Q335" s="5">
        <v>300000</v>
      </c>
      <c r="R335" s="5">
        <v>300000</v>
      </c>
      <c r="S335" s="5">
        <v>300000</v>
      </c>
    </row>
    <row r="336" spans="1:19" ht="10.9" customHeight="1" x14ac:dyDescent="0.2">
      <c r="F336" s="12" t="s">
        <v>335</v>
      </c>
      <c r="G336" s="5">
        <v>1659999.75</v>
      </c>
      <c r="H336" s="5">
        <v>1562499.75</v>
      </c>
      <c r="I336" s="5">
        <v>1562499.75</v>
      </c>
      <c r="J336" s="5">
        <v>1437500.25</v>
      </c>
      <c r="K336" s="5">
        <v>1437500.25</v>
      </c>
      <c r="L336" s="5">
        <v>1437500.25</v>
      </c>
      <c r="M336" s="5">
        <v>1437500.25</v>
      </c>
      <c r="N336" s="5">
        <v>1437500.25</v>
      </c>
      <c r="O336" s="5">
        <v>1437500.25</v>
      </c>
      <c r="P336" s="5">
        <v>1437500.25</v>
      </c>
      <c r="Q336" s="5">
        <v>1437500.25</v>
      </c>
      <c r="R336" s="5">
        <v>1437500.25</v>
      </c>
      <c r="S336" s="5">
        <v>1437500.25</v>
      </c>
    </row>
    <row r="337" spans="1:19" ht="10.9" customHeight="1" x14ac:dyDescent="0.2">
      <c r="F337" s="12" t="s">
        <v>336</v>
      </c>
      <c r="G337" s="5">
        <v>920530.24499999988</v>
      </c>
      <c r="H337" s="5">
        <v>631643.49749999994</v>
      </c>
      <c r="I337" s="5">
        <v>716021.00250000006</v>
      </c>
      <c r="J337" s="5">
        <v>993575.13000000012</v>
      </c>
      <c r="K337" s="5">
        <v>1574449.3875000002</v>
      </c>
      <c r="L337" s="5">
        <v>1716227.28</v>
      </c>
      <c r="M337" s="5">
        <v>1532954.1375000002</v>
      </c>
      <c r="N337" s="5">
        <v>1858601.655</v>
      </c>
      <c r="O337" s="5">
        <v>1264658.6099999999</v>
      </c>
      <c r="P337" s="5">
        <v>1552541.8875000002</v>
      </c>
      <c r="Q337" s="5">
        <v>1632429.5775000001</v>
      </c>
      <c r="R337" s="5">
        <v>1468644.1124999998</v>
      </c>
      <c r="S337" s="5">
        <v>1131403.9125000001</v>
      </c>
    </row>
    <row r="338" spans="1:19" ht="10.9" customHeight="1" x14ac:dyDescent="0.2">
      <c r="D338" s="13" t="s">
        <v>337</v>
      </c>
      <c r="G338" s="17">
        <f t="shared" ref="G338:S338" si="50">SUM(G333:G337)</f>
        <v>18021298.995000001</v>
      </c>
      <c r="H338" s="17">
        <f t="shared" si="50"/>
        <v>17049912.247499999</v>
      </c>
      <c r="I338" s="17">
        <f t="shared" si="50"/>
        <v>17134289.752500001</v>
      </c>
      <c r="J338" s="17">
        <f t="shared" si="50"/>
        <v>16472794.380000001</v>
      </c>
      <c r="K338" s="17">
        <f t="shared" si="50"/>
        <v>17053668.637499999</v>
      </c>
      <c r="L338" s="17">
        <f t="shared" si="50"/>
        <v>17195446.530000001</v>
      </c>
      <c r="M338" s="17">
        <f t="shared" si="50"/>
        <v>49345643.887500003</v>
      </c>
      <c r="N338" s="17">
        <f t="shared" si="50"/>
        <v>12561601.904999999</v>
      </c>
      <c r="O338" s="17">
        <f t="shared" si="50"/>
        <v>11967658.859999999</v>
      </c>
      <c r="P338" s="17">
        <f t="shared" si="50"/>
        <v>12255542.137499999</v>
      </c>
      <c r="Q338" s="17">
        <f t="shared" si="50"/>
        <v>12335429.827500001</v>
      </c>
      <c r="R338" s="17">
        <f t="shared" si="50"/>
        <v>12171644.362500001</v>
      </c>
      <c r="S338" s="17">
        <f t="shared" si="50"/>
        <v>11834404.1625</v>
      </c>
    </row>
    <row r="339" spans="1:19" ht="10.9" customHeight="1" x14ac:dyDescent="0.2">
      <c r="C339" s="13" t="s">
        <v>323</v>
      </c>
      <c r="G339" s="17">
        <f t="shared" ref="G339:S339" si="51">(0 + (((G315 + G324) + G331) + G338))</f>
        <v>133876174.48500001</v>
      </c>
      <c r="H339" s="17">
        <f t="shared" si="51"/>
        <v>128411606.24250001</v>
      </c>
      <c r="I339" s="17">
        <f t="shared" si="51"/>
        <v>130373244.00749999</v>
      </c>
      <c r="J339" s="17">
        <f t="shared" si="51"/>
        <v>123546026.63999999</v>
      </c>
      <c r="K339" s="17">
        <f t="shared" si="51"/>
        <v>126194343.91500001</v>
      </c>
      <c r="L339" s="17">
        <f t="shared" si="51"/>
        <v>134177796.09</v>
      </c>
      <c r="M339" s="17">
        <f t="shared" si="51"/>
        <v>15450626.520000011</v>
      </c>
      <c r="N339" s="17">
        <f t="shared" si="51"/>
        <v>179845507.85249999</v>
      </c>
      <c r="O339" s="17">
        <f t="shared" si="51"/>
        <v>171455224.45499998</v>
      </c>
      <c r="P339" s="17">
        <f t="shared" si="51"/>
        <v>158466545.66249999</v>
      </c>
      <c r="Q339" s="17">
        <f t="shared" si="51"/>
        <v>158658917.48250002</v>
      </c>
      <c r="R339" s="17">
        <f t="shared" si="51"/>
        <v>158243639.58750001</v>
      </c>
      <c r="S339" s="17">
        <f t="shared" si="51"/>
        <v>168439298.73749998</v>
      </c>
    </row>
    <row r="340" spans="1:19" ht="10.9" customHeight="1" x14ac:dyDescent="0.2">
      <c r="A340" s="11"/>
      <c r="B340" s="11"/>
      <c r="C340" s="11" t="s">
        <v>338</v>
      </c>
      <c r="D340" s="11"/>
      <c r="E340" s="11"/>
      <c r="F340" s="11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</row>
    <row r="341" spans="1:19" ht="10.9" customHeight="1" x14ac:dyDescent="0.2">
      <c r="A341" s="11"/>
      <c r="B341" s="11"/>
      <c r="C341" s="11"/>
      <c r="D341" s="11" t="s">
        <v>339</v>
      </c>
      <c r="E341" s="11"/>
      <c r="F341" s="11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</row>
    <row r="342" spans="1:19" ht="10.9" customHeight="1" x14ac:dyDescent="0.2">
      <c r="F342" s="12" t="s">
        <v>340</v>
      </c>
      <c r="G342" s="5">
        <v>76074750</v>
      </c>
      <c r="H342" s="5">
        <v>72438000</v>
      </c>
      <c r="I342" s="5">
        <v>76481424.75</v>
      </c>
      <c r="J342" s="5">
        <v>73735500</v>
      </c>
      <c r="K342" s="5">
        <v>79862768.25</v>
      </c>
      <c r="L342" s="5">
        <v>83624352.75</v>
      </c>
      <c r="M342" s="5">
        <v>78188240.25</v>
      </c>
      <c r="N342" s="5">
        <v>68488634.25</v>
      </c>
      <c r="O342" s="5">
        <v>69980414.25</v>
      </c>
      <c r="P342" s="5">
        <v>70622538</v>
      </c>
      <c r="Q342" s="5">
        <v>73253835</v>
      </c>
      <c r="R342" s="5">
        <v>71269373.25</v>
      </c>
      <c r="S342" s="5">
        <v>60174000</v>
      </c>
    </row>
    <row r="343" spans="1:19" ht="10.9" customHeight="1" x14ac:dyDescent="0.2">
      <c r="F343" s="12" t="s">
        <v>341</v>
      </c>
      <c r="G343" s="5">
        <v>3288687</v>
      </c>
      <c r="H343" s="5">
        <v>3288687</v>
      </c>
      <c r="I343" s="5">
        <v>3424887</v>
      </c>
      <c r="J343" s="5">
        <v>3347592</v>
      </c>
      <c r="K343" s="5">
        <v>3722142</v>
      </c>
      <c r="L343" s="5">
        <v>3722142</v>
      </c>
      <c r="M343" s="5">
        <v>3339079.5</v>
      </c>
      <c r="N343" s="5">
        <v>3020201.25</v>
      </c>
      <c r="O343" s="5">
        <v>3044036.25</v>
      </c>
      <c r="P343" s="5">
        <v>3133077</v>
      </c>
      <c r="Q343" s="5">
        <v>3133077</v>
      </c>
      <c r="R343" s="5">
        <v>2611941.75</v>
      </c>
      <c r="S343" s="5">
        <v>2611941.75</v>
      </c>
    </row>
    <row r="344" spans="1:19" ht="10.9" customHeight="1" x14ac:dyDescent="0.2">
      <c r="F344" s="12" t="s">
        <v>342</v>
      </c>
      <c r="G344" s="5">
        <v>2639520</v>
      </c>
      <c r="H344" s="5">
        <v>2639520</v>
      </c>
      <c r="I344" s="5">
        <v>2759520</v>
      </c>
      <c r="J344" s="5">
        <v>2691420</v>
      </c>
      <c r="K344" s="5">
        <v>3021420</v>
      </c>
      <c r="L344" s="5">
        <v>3099870</v>
      </c>
      <c r="M344" s="5">
        <v>3013920</v>
      </c>
      <c r="N344" s="5">
        <v>2522970</v>
      </c>
      <c r="O344" s="5">
        <v>2513970</v>
      </c>
      <c r="P344" s="5">
        <v>2682420</v>
      </c>
      <c r="Q344" s="5">
        <v>2682420</v>
      </c>
      <c r="R344" s="5">
        <v>2682420</v>
      </c>
      <c r="S344" s="5">
        <v>2043270</v>
      </c>
    </row>
    <row r="345" spans="1:19" ht="10.9" customHeight="1" x14ac:dyDescent="0.2">
      <c r="F345" s="12" t="s">
        <v>343</v>
      </c>
      <c r="G345" s="5">
        <v>12679125</v>
      </c>
      <c r="H345" s="5">
        <v>12072999.75</v>
      </c>
      <c r="I345" s="5">
        <v>12746904</v>
      </c>
      <c r="J345" s="5">
        <v>12289250.25</v>
      </c>
      <c r="K345" s="5">
        <v>13310461.5</v>
      </c>
      <c r="L345" s="5">
        <v>13937392.5</v>
      </c>
      <c r="M345" s="5">
        <v>13031373.75</v>
      </c>
      <c r="N345" s="5">
        <v>11529375</v>
      </c>
      <c r="O345" s="5">
        <v>11991875.25</v>
      </c>
      <c r="P345" s="5">
        <v>12693750</v>
      </c>
      <c r="Q345" s="5">
        <v>12193749.75</v>
      </c>
      <c r="R345" s="5">
        <v>12193749.75</v>
      </c>
      <c r="S345" s="5">
        <v>9530625</v>
      </c>
    </row>
    <row r="346" spans="1:19" ht="10.9" customHeight="1" x14ac:dyDescent="0.2">
      <c r="F346" s="12" t="s">
        <v>344</v>
      </c>
      <c r="G346" s="5">
        <v>4500000</v>
      </c>
      <c r="H346" s="5">
        <v>4050000</v>
      </c>
      <c r="I346" s="5">
        <v>123750</v>
      </c>
      <c r="J346" s="5">
        <v>0</v>
      </c>
      <c r="K346" s="5">
        <v>0</v>
      </c>
      <c r="L346" s="5">
        <v>0</v>
      </c>
      <c r="M346" s="5">
        <v>6516000</v>
      </c>
      <c r="N346" s="5">
        <v>43740000</v>
      </c>
      <c r="O346" s="5">
        <v>44370000</v>
      </c>
      <c r="P346" s="5">
        <v>36900000</v>
      </c>
      <c r="Q346" s="5">
        <v>32220000</v>
      </c>
      <c r="R346" s="5">
        <v>18967500</v>
      </c>
      <c r="S346" s="5">
        <v>23911875</v>
      </c>
    </row>
    <row r="347" spans="1:19" ht="10.9" customHeight="1" x14ac:dyDescent="0.2">
      <c r="F347" s="12" t="s">
        <v>345</v>
      </c>
      <c r="G347" s="5">
        <v>4653185.7450000001</v>
      </c>
      <c r="H347" s="5">
        <v>3995521.7475000001</v>
      </c>
      <c r="I347" s="5">
        <v>4301573.7524999995</v>
      </c>
      <c r="J347" s="5">
        <v>5020555.38</v>
      </c>
      <c r="K347" s="5">
        <v>8071317.2624999993</v>
      </c>
      <c r="L347" s="5">
        <v>8862337.1549999993</v>
      </c>
      <c r="M347" s="5">
        <v>7758275.1374999993</v>
      </c>
      <c r="N347" s="5">
        <v>8013689.6549999993</v>
      </c>
      <c r="O347" s="5">
        <v>6901743.7350000003</v>
      </c>
      <c r="P347" s="5">
        <v>6245572.7624999993</v>
      </c>
      <c r="Q347" s="5">
        <v>6426952.3274999997</v>
      </c>
      <c r="R347" s="5">
        <v>5770940.7375000007</v>
      </c>
      <c r="S347" s="5">
        <v>4140034.9124999996</v>
      </c>
    </row>
    <row r="348" spans="1:19" ht="10.9" customHeight="1" x14ac:dyDescent="0.2">
      <c r="D348" s="13" t="s">
        <v>346</v>
      </c>
      <c r="G348" s="17">
        <f t="shared" ref="G348:S348" si="52">SUM(G342:G347)</f>
        <v>103835267.745</v>
      </c>
      <c r="H348" s="17">
        <f t="shared" si="52"/>
        <v>98484728.497500002</v>
      </c>
      <c r="I348" s="17">
        <f t="shared" si="52"/>
        <v>99838059.502499998</v>
      </c>
      <c r="J348" s="17">
        <f t="shared" si="52"/>
        <v>97084317.629999995</v>
      </c>
      <c r="K348" s="17">
        <f t="shared" si="52"/>
        <v>107988109.0125</v>
      </c>
      <c r="L348" s="17">
        <f t="shared" si="52"/>
        <v>113246094.405</v>
      </c>
      <c r="M348" s="17">
        <f t="shared" si="52"/>
        <v>111846888.6375</v>
      </c>
      <c r="N348" s="17">
        <f t="shared" si="52"/>
        <v>137314870.155</v>
      </c>
      <c r="O348" s="17">
        <f t="shared" si="52"/>
        <v>138802039.48500001</v>
      </c>
      <c r="P348" s="17">
        <f t="shared" si="52"/>
        <v>132277357.7625</v>
      </c>
      <c r="Q348" s="17">
        <f t="shared" si="52"/>
        <v>129910034.0775</v>
      </c>
      <c r="R348" s="17">
        <f t="shared" si="52"/>
        <v>113495925.4875</v>
      </c>
      <c r="S348" s="17">
        <f t="shared" si="52"/>
        <v>102411746.66249999</v>
      </c>
    </row>
    <row r="349" spans="1:19" ht="10.9" customHeight="1" x14ac:dyDescent="0.2">
      <c r="A349" s="11"/>
      <c r="B349" s="11"/>
      <c r="C349" s="11"/>
      <c r="D349" s="11" t="s">
        <v>347</v>
      </c>
      <c r="E349" s="11"/>
      <c r="F349" s="11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</row>
    <row r="350" spans="1:19" ht="10.9" customHeight="1" x14ac:dyDescent="0.2">
      <c r="F350" s="12" t="s">
        <v>348</v>
      </c>
      <c r="G350" s="5">
        <v>17370000</v>
      </c>
      <c r="H350" s="5">
        <v>23400000</v>
      </c>
      <c r="I350" s="5">
        <v>0</v>
      </c>
      <c r="J350" s="5">
        <v>0</v>
      </c>
      <c r="K350" s="5">
        <v>0</v>
      </c>
      <c r="L350" s="5">
        <v>0</v>
      </c>
      <c r="M350" s="5">
        <v>0</v>
      </c>
      <c r="N350" s="5">
        <v>0</v>
      </c>
      <c r="O350" s="5">
        <v>0</v>
      </c>
      <c r="P350" s="5">
        <v>0</v>
      </c>
      <c r="Q350" s="5">
        <v>0</v>
      </c>
      <c r="R350" s="5">
        <v>0</v>
      </c>
      <c r="S350" s="5">
        <v>0</v>
      </c>
    </row>
    <row r="351" spans="1:19" ht="10.9" customHeight="1" x14ac:dyDescent="0.2">
      <c r="D351" s="13" t="s">
        <v>349</v>
      </c>
      <c r="G351" s="17">
        <f t="shared" ref="G351:S351" si="53">G350</f>
        <v>17370000</v>
      </c>
      <c r="H351" s="17">
        <f t="shared" si="53"/>
        <v>23400000</v>
      </c>
      <c r="I351" s="17">
        <f t="shared" si="53"/>
        <v>0</v>
      </c>
      <c r="J351" s="17">
        <f t="shared" si="53"/>
        <v>0</v>
      </c>
      <c r="K351" s="17">
        <f t="shared" si="53"/>
        <v>0</v>
      </c>
      <c r="L351" s="17">
        <f t="shared" si="53"/>
        <v>0</v>
      </c>
      <c r="M351" s="17">
        <f t="shared" si="53"/>
        <v>0</v>
      </c>
      <c r="N351" s="17">
        <f t="shared" si="53"/>
        <v>0</v>
      </c>
      <c r="O351" s="17">
        <f t="shared" si="53"/>
        <v>0</v>
      </c>
      <c r="P351" s="17">
        <f t="shared" si="53"/>
        <v>0</v>
      </c>
      <c r="Q351" s="17">
        <f t="shared" si="53"/>
        <v>0</v>
      </c>
      <c r="R351" s="17">
        <f t="shared" si="53"/>
        <v>0</v>
      </c>
      <c r="S351" s="17">
        <f t="shared" si="53"/>
        <v>0</v>
      </c>
    </row>
    <row r="352" spans="1:19" ht="10.9" customHeight="1" x14ac:dyDescent="0.2">
      <c r="A352" s="11"/>
      <c r="B352" s="11"/>
      <c r="C352" s="11"/>
      <c r="D352" s="11" t="s">
        <v>350</v>
      </c>
      <c r="E352" s="11"/>
      <c r="F352" s="11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</row>
    <row r="353" spans="1:19" ht="10.9" customHeight="1" x14ac:dyDescent="0.2">
      <c r="F353" s="12" t="s">
        <v>351</v>
      </c>
      <c r="G353" s="5">
        <v>14543250</v>
      </c>
      <c r="H353" s="5">
        <v>13519500</v>
      </c>
      <c r="I353" s="5">
        <v>13519500</v>
      </c>
      <c r="J353" s="5">
        <v>13361250</v>
      </c>
      <c r="K353" s="5">
        <v>13361250</v>
      </c>
      <c r="L353" s="5">
        <v>14879637</v>
      </c>
      <c r="M353" s="5">
        <v>15322500</v>
      </c>
      <c r="N353" s="5">
        <v>15322500</v>
      </c>
      <c r="O353" s="5">
        <v>15322500</v>
      </c>
      <c r="P353" s="5">
        <v>15386250</v>
      </c>
      <c r="Q353" s="5">
        <v>17220000</v>
      </c>
      <c r="R353" s="5">
        <v>17220000</v>
      </c>
      <c r="S353" s="5">
        <v>18653250</v>
      </c>
    </row>
    <row r="354" spans="1:19" ht="10.9" customHeight="1" x14ac:dyDescent="0.2">
      <c r="F354" s="12" t="s">
        <v>352</v>
      </c>
      <c r="G354" s="5">
        <v>613785.75</v>
      </c>
      <c r="H354" s="5">
        <v>613785.75</v>
      </c>
      <c r="I354" s="5">
        <v>613785.75</v>
      </c>
      <c r="J354" s="5">
        <v>606600.75</v>
      </c>
      <c r="K354" s="5">
        <v>606600.75</v>
      </c>
      <c r="L354" s="5">
        <v>695641.5</v>
      </c>
      <c r="M354" s="5">
        <v>695641.5</v>
      </c>
      <c r="N354" s="5">
        <v>695641.5</v>
      </c>
      <c r="O354" s="5">
        <v>695641.5</v>
      </c>
      <c r="P354" s="5">
        <v>787576.5</v>
      </c>
      <c r="Q354" s="5">
        <v>781788</v>
      </c>
      <c r="R354" s="5">
        <v>781788</v>
      </c>
      <c r="S354" s="5">
        <v>781788</v>
      </c>
    </row>
    <row r="355" spans="1:19" ht="10.9" customHeight="1" x14ac:dyDescent="0.2">
      <c r="F355" s="12" t="s">
        <v>353</v>
      </c>
      <c r="G355" s="5">
        <v>540780</v>
      </c>
      <c r="H355" s="5">
        <v>540780</v>
      </c>
      <c r="I355" s="5">
        <v>540780</v>
      </c>
      <c r="J355" s="5">
        <v>534450</v>
      </c>
      <c r="K355" s="5">
        <v>534450</v>
      </c>
      <c r="L355" s="5">
        <v>612900</v>
      </c>
      <c r="M355" s="5">
        <v>612900</v>
      </c>
      <c r="N355" s="5">
        <v>612900</v>
      </c>
      <c r="O355" s="5">
        <v>612900</v>
      </c>
      <c r="P355" s="5">
        <v>693900</v>
      </c>
      <c r="Q355" s="5">
        <v>688800</v>
      </c>
      <c r="R355" s="5">
        <v>688800</v>
      </c>
      <c r="S355" s="5">
        <v>688800</v>
      </c>
    </row>
    <row r="356" spans="1:19" ht="10.9" customHeight="1" x14ac:dyDescent="0.2">
      <c r="F356" s="12" t="s">
        <v>354</v>
      </c>
      <c r="G356" s="5">
        <v>2423874.75</v>
      </c>
      <c r="H356" s="5">
        <v>2253249.75</v>
      </c>
      <c r="I356" s="5">
        <v>2253249.75</v>
      </c>
      <c r="J356" s="5">
        <v>2226875.25</v>
      </c>
      <c r="K356" s="5">
        <v>2226875.25</v>
      </c>
      <c r="L356" s="5">
        <v>2479939.5</v>
      </c>
      <c r="M356" s="5">
        <v>2553750</v>
      </c>
      <c r="N356" s="5">
        <v>2553750</v>
      </c>
      <c r="O356" s="5">
        <v>2553750</v>
      </c>
      <c r="P356" s="5">
        <v>2891250</v>
      </c>
      <c r="Q356" s="5">
        <v>2870000.25</v>
      </c>
      <c r="R356" s="5">
        <v>2870000.25</v>
      </c>
      <c r="S356" s="5">
        <v>2870000.25</v>
      </c>
    </row>
    <row r="357" spans="1:19" ht="10.9" customHeight="1" x14ac:dyDescent="0.2">
      <c r="F357" s="12" t="s">
        <v>355</v>
      </c>
      <c r="G357" s="5">
        <v>0</v>
      </c>
      <c r="H357" s="5">
        <v>1080000</v>
      </c>
      <c r="I357" s="5">
        <v>18180000</v>
      </c>
      <c r="J357" s="5">
        <v>26932500</v>
      </c>
      <c r="K357" s="5">
        <v>39870000</v>
      </c>
      <c r="L357" s="5">
        <v>67702500</v>
      </c>
      <c r="M357" s="5">
        <v>52425000</v>
      </c>
      <c r="N357" s="5">
        <v>59040000</v>
      </c>
      <c r="O357" s="5">
        <v>73260000</v>
      </c>
      <c r="P357" s="5">
        <v>70920000</v>
      </c>
      <c r="Q357" s="5">
        <v>53730000</v>
      </c>
      <c r="R357" s="5">
        <v>53325000</v>
      </c>
      <c r="S357" s="5">
        <v>47566875</v>
      </c>
    </row>
    <row r="358" spans="1:19" ht="10.9" customHeight="1" x14ac:dyDescent="0.2">
      <c r="F358" s="12" t="s">
        <v>356</v>
      </c>
      <c r="G358" s="5">
        <v>1246894.9949999999</v>
      </c>
      <c r="H358" s="5">
        <v>984540.25500000012</v>
      </c>
      <c r="I358" s="5">
        <v>1028480.7524999999</v>
      </c>
      <c r="J358" s="5">
        <v>1423555.3875000002</v>
      </c>
      <c r="K358" s="5">
        <v>1639699.3875000002</v>
      </c>
      <c r="L358" s="5">
        <v>1798727.355</v>
      </c>
      <c r="M358" s="5">
        <v>1607954.5125000002</v>
      </c>
      <c r="N358" s="5">
        <v>1963601.6475</v>
      </c>
      <c r="O358" s="5">
        <v>1264658.6099999999</v>
      </c>
      <c r="P358" s="5">
        <v>1817085.6375000002</v>
      </c>
      <c r="Q358" s="5">
        <v>1921993.3275000001</v>
      </c>
      <c r="R358" s="5">
        <v>1763084.3624999998</v>
      </c>
      <c r="S358" s="5">
        <v>1336168.125</v>
      </c>
    </row>
    <row r="359" spans="1:19" ht="10.9" customHeight="1" x14ac:dyDescent="0.2">
      <c r="D359" s="13" t="s">
        <v>357</v>
      </c>
      <c r="G359" s="17">
        <f t="shared" ref="G359:S359" si="54">SUM(G353:G358)</f>
        <v>19368585.495000001</v>
      </c>
      <c r="H359" s="17">
        <f t="shared" si="54"/>
        <v>18991855.754999999</v>
      </c>
      <c r="I359" s="17">
        <f t="shared" si="54"/>
        <v>36135796.252499998</v>
      </c>
      <c r="J359" s="17">
        <f t="shared" si="54"/>
        <v>45085231.387500003</v>
      </c>
      <c r="K359" s="17">
        <f t="shared" si="54"/>
        <v>58238875.387500003</v>
      </c>
      <c r="L359" s="17">
        <f t="shared" si="54"/>
        <v>88169345.355000004</v>
      </c>
      <c r="M359" s="17">
        <f t="shared" si="54"/>
        <v>73217746.012500003</v>
      </c>
      <c r="N359" s="17">
        <f t="shared" si="54"/>
        <v>80188393.147499993</v>
      </c>
      <c r="O359" s="17">
        <f t="shared" si="54"/>
        <v>93709450.109999999</v>
      </c>
      <c r="P359" s="17">
        <f t="shared" si="54"/>
        <v>92496062.137500003</v>
      </c>
      <c r="Q359" s="17">
        <f t="shared" si="54"/>
        <v>77212581.577500001</v>
      </c>
      <c r="R359" s="17">
        <f t="shared" si="54"/>
        <v>76648672.612499997</v>
      </c>
      <c r="S359" s="17">
        <f t="shared" si="54"/>
        <v>71896881.375</v>
      </c>
    </row>
    <row r="360" spans="1:19" ht="10.9" customHeight="1" x14ac:dyDescent="0.2">
      <c r="C360" s="13" t="s">
        <v>358</v>
      </c>
      <c r="G360" s="17">
        <f t="shared" ref="G360:S360" si="55">(0 + ((G348 + G351) + G359))</f>
        <v>140573853.24000001</v>
      </c>
      <c r="H360" s="17">
        <f t="shared" si="55"/>
        <v>140876584.2525</v>
      </c>
      <c r="I360" s="17">
        <f t="shared" si="55"/>
        <v>135973855.755</v>
      </c>
      <c r="J360" s="17">
        <f t="shared" si="55"/>
        <v>142169549.01749998</v>
      </c>
      <c r="K360" s="17">
        <f t="shared" si="55"/>
        <v>166226984.40000001</v>
      </c>
      <c r="L360" s="17">
        <f t="shared" si="55"/>
        <v>201415439.75999999</v>
      </c>
      <c r="M360" s="17">
        <f t="shared" si="55"/>
        <v>185064634.65000001</v>
      </c>
      <c r="N360" s="17">
        <f t="shared" si="55"/>
        <v>217503263.30250001</v>
      </c>
      <c r="O360" s="17">
        <f t="shared" si="55"/>
        <v>232511489.59500003</v>
      </c>
      <c r="P360" s="17">
        <f t="shared" si="55"/>
        <v>224773419.90000001</v>
      </c>
      <c r="Q360" s="17">
        <f t="shared" si="55"/>
        <v>207122615.655</v>
      </c>
      <c r="R360" s="17">
        <f t="shared" si="55"/>
        <v>190144598.09999999</v>
      </c>
      <c r="S360" s="17">
        <f t="shared" si="55"/>
        <v>174308628.03749999</v>
      </c>
    </row>
    <row r="361" spans="1:19" ht="10.9" customHeight="1" x14ac:dyDescent="0.2">
      <c r="A361" s="11"/>
      <c r="B361" s="11"/>
      <c r="C361" s="11" t="s">
        <v>359</v>
      </c>
      <c r="D361" s="11"/>
      <c r="E361" s="11"/>
      <c r="F361" s="11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</row>
    <row r="362" spans="1:19" ht="10.9" customHeight="1" x14ac:dyDescent="0.2">
      <c r="F362" s="12" t="s">
        <v>360</v>
      </c>
      <c r="G362" s="5">
        <v>67190832.75</v>
      </c>
      <c r="H362" s="5">
        <v>63918686.25</v>
      </c>
      <c r="I362" s="5">
        <v>60654645</v>
      </c>
      <c r="J362" s="5">
        <v>59207326.5</v>
      </c>
      <c r="K362" s="5">
        <v>49150877.25</v>
      </c>
      <c r="L362" s="5">
        <v>46854645</v>
      </c>
      <c r="M362" s="5">
        <v>169272483</v>
      </c>
      <c r="N362" s="5">
        <v>35250000</v>
      </c>
      <c r="O362" s="5">
        <v>37657281</v>
      </c>
      <c r="P362" s="5">
        <v>36600000</v>
      </c>
      <c r="Q362" s="5">
        <v>33508212.75</v>
      </c>
      <c r="R362" s="5">
        <v>24020548.5</v>
      </c>
      <c r="S362" s="5">
        <v>31551370.5</v>
      </c>
    </row>
    <row r="363" spans="1:19" ht="10.9" customHeight="1" x14ac:dyDescent="0.2">
      <c r="F363" s="12" t="s">
        <v>361</v>
      </c>
      <c r="G363" s="5">
        <v>0</v>
      </c>
      <c r="H363" s="5">
        <v>0</v>
      </c>
      <c r="I363" s="5">
        <v>0</v>
      </c>
      <c r="J363" s="5">
        <v>0</v>
      </c>
      <c r="K363" s="5">
        <v>0</v>
      </c>
      <c r="L363" s="5">
        <v>0</v>
      </c>
      <c r="M363" s="5">
        <v>0</v>
      </c>
      <c r="N363" s="5">
        <v>0</v>
      </c>
      <c r="O363" s="5">
        <v>0</v>
      </c>
      <c r="P363" s="5">
        <v>0</v>
      </c>
      <c r="Q363" s="5">
        <v>0</v>
      </c>
      <c r="R363" s="5">
        <v>176157</v>
      </c>
      <c r="S363" s="5">
        <v>528975</v>
      </c>
    </row>
    <row r="364" spans="1:19" ht="10.9" customHeight="1" x14ac:dyDescent="0.2">
      <c r="F364" s="12" t="s">
        <v>362</v>
      </c>
      <c r="G364" s="5">
        <v>1889775</v>
      </c>
      <c r="H364" s="5">
        <v>2043000</v>
      </c>
      <c r="I364" s="5">
        <v>1736550</v>
      </c>
      <c r="J364" s="5">
        <v>1305675</v>
      </c>
      <c r="K364" s="5">
        <v>1188345</v>
      </c>
      <c r="L364" s="5">
        <v>1178130</v>
      </c>
      <c r="M364" s="5">
        <v>919350</v>
      </c>
      <c r="N364" s="5">
        <v>1344975</v>
      </c>
      <c r="O364" s="5">
        <v>1344975</v>
      </c>
      <c r="P364" s="5">
        <v>1004475</v>
      </c>
      <c r="Q364" s="5">
        <v>817200</v>
      </c>
      <c r="R364" s="5">
        <v>817200</v>
      </c>
      <c r="S364" s="5">
        <v>851250</v>
      </c>
    </row>
    <row r="365" spans="1:19" ht="10.9" customHeight="1" x14ac:dyDescent="0.2">
      <c r="F365" s="12" t="s">
        <v>363</v>
      </c>
      <c r="G365" s="5">
        <v>1485000</v>
      </c>
      <c r="H365" s="5">
        <v>1740000</v>
      </c>
      <c r="I365" s="5">
        <v>1350000</v>
      </c>
      <c r="J365" s="5">
        <v>1350000</v>
      </c>
      <c r="K365" s="5">
        <v>888000</v>
      </c>
      <c r="L365" s="5">
        <v>888000</v>
      </c>
      <c r="M365" s="5">
        <v>135000</v>
      </c>
      <c r="N365" s="5">
        <v>1185000</v>
      </c>
      <c r="O365" s="5">
        <v>1035000</v>
      </c>
      <c r="P365" s="5">
        <v>1035000</v>
      </c>
      <c r="Q365" s="5">
        <v>1020000</v>
      </c>
      <c r="R365" s="5">
        <v>1020000</v>
      </c>
      <c r="S365" s="5">
        <v>1290000</v>
      </c>
    </row>
    <row r="366" spans="1:19" ht="10.9" customHeight="1" x14ac:dyDescent="0.2">
      <c r="F366" s="12" t="s">
        <v>364</v>
      </c>
      <c r="G366" s="5">
        <v>7714365</v>
      </c>
      <c r="H366" s="5">
        <v>7169007</v>
      </c>
      <c r="I366" s="5">
        <v>6624999.75</v>
      </c>
      <c r="J366" s="5">
        <v>6383779.5</v>
      </c>
      <c r="K366" s="5">
        <v>4362500.25</v>
      </c>
      <c r="L366" s="5">
        <v>4325000.25</v>
      </c>
      <c r="M366" s="5">
        <v>5812500</v>
      </c>
      <c r="N366" s="5">
        <v>6999999.75</v>
      </c>
      <c r="O366" s="5">
        <v>6375000</v>
      </c>
      <c r="P366" s="5">
        <v>6125000.25</v>
      </c>
      <c r="Q366" s="5">
        <v>5499999.75</v>
      </c>
      <c r="R366" s="5">
        <v>6249999.75</v>
      </c>
      <c r="S366" s="5">
        <v>5874999.75</v>
      </c>
    </row>
    <row r="367" spans="1:19" ht="10.9" customHeight="1" x14ac:dyDescent="0.2">
      <c r="F367" s="12" t="s">
        <v>365</v>
      </c>
      <c r="G367" s="5">
        <v>2535776.7450000001</v>
      </c>
      <c r="H367" s="5">
        <v>1929229.7475000001</v>
      </c>
      <c r="I367" s="5">
        <v>1378965.5024999999</v>
      </c>
      <c r="J367" s="5">
        <v>1919565.63</v>
      </c>
      <c r="K367" s="5">
        <v>5898878.8874999993</v>
      </c>
      <c r="L367" s="5">
        <v>2501769.7800000003</v>
      </c>
      <c r="M367" s="5">
        <v>2424587.8875000002</v>
      </c>
      <c r="N367" s="5">
        <v>3496942.1550000003</v>
      </c>
      <c r="O367" s="5">
        <v>2831580.36</v>
      </c>
      <c r="P367" s="5">
        <v>3337909.3874999997</v>
      </c>
      <c r="Q367" s="5">
        <v>3092231.0775000001</v>
      </c>
      <c r="R367" s="5">
        <v>1881984.1124999998</v>
      </c>
      <c r="S367" s="5">
        <v>1618975.9124999999</v>
      </c>
    </row>
    <row r="368" spans="1:19" ht="10.9" customHeight="1" x14ac:dyDescent="0.2">
      <c r="C368" s="13" t="s">
        <v>366</v>
      </c>
      <c r="G368" s="17">
        <f t="shared" ref="G368:S368" si="56">SUM(G362:G367)</f>
        <v>80815749.495000005</v>
      </c>
      <c r="H368" s="17">
        <f t="shared" si="56"/>
        <v>76799922.997500002</v>
      </c>
      <c r="I368" s="17">
        <f t="shared" si="56"/>
        <v>71745160.252499998</v>
      </c>
      <c r="J368" s="17">
        <f t="shared" si="56"/>
        <v>70166346.629999995</v>
      </c>
      <c r="K368" s="17">
        <f t="shared" si="56"/>
        <v>61488601.387500003</v>
      </c>
      <c r="L368" s="17">
        <f t="shared" si="56"/>
        <v>55747545.030000001</v>
      </c>
      <c r="M368" s="17">
        <f t="shared" si="56"/>
        <v>178563920.88749999</v>
      </c>
      <c r="N368" s="17">
        <f t="shared" si="56"/>
        <v>48276916.905000001</v>
      </c>
      <c r="O368" s="17">
        <f t="shared" si="56"/>
        <v>49243836.359999999</v>
      </c>
      <c r="P368" s="17">
        <f t="shared" si="56"/>
        <v>48102384.637500003</v>
      </c>
      <c r="Q368" s="17">
        <f t="shared" si="56"/>
        <v>43937643.577500001</v>
      </c>
      <c r="R368" s="17">
        <f t="shared" si="56"/>
        <v>34165889.362499997</v>
      </c>
      <c r="S368" s="17">
        <f t="shared" si="56"/>
        <v>41715571.162500001</v>
      </c>
    </row>
    <row r="369" spans="1:19" ht="10.9" customHeight="1" x14ac:dyDescent="0.2">
      <c r="A369" s="11"/>
      <c r="B369" s="11"/>
      <c r="C369" s="11" t="s">
        <v>367</v>
      </c>
      <c r="D369" s="11"/>
      <c r="E369" s="11"/>
      <c r="F369" s="11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</row>
    <row r="370" spans="1:19" ht="10.9" customHeight="1" x14ac:dyDescent="0.2">
      <c r="A370" s="11"/>
      <c r="B370" s="11"/>
      <c r="C370" s="11"/>
      <c r="D370" s="11" t="s">
        <v>368</v>
      </c>
      <c r="E370" s="11"/>
      <c r="F370" s="11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</row>
    <row r="371" spans="1:19" ht="10.9" customHeight="1" x14ac:dyDescent="0.2">
      <c r="F371" s="12" t="s">
        <v>369</v>
      </c>
      <c r="G371" s="5">
        <v>17217504</v>
      </c>
      <c r="H371" s="5">
        <v>32137500</v>
      </c>
      <c r="I371" s="5">
        <v>31702125</v>
      </c>
      <c r="J371" s="5">
        <v>26361201.75</v>
      </c>
      <c r="K371" s="5">
        <v>27525000</v>
      </c>
      <c r="L371" s="5">
        <v>27525000</v>
      </c>
      <c r="M371" s="5">
        <v>-61839645</v>
      </c>
      <c r="N371" s="5">
        <v>41062500</v>
      </c>
      <c r="O371" s="5">
        <v>41062500</v>
      </c>
      <c r="P371" s="5">
        <v>41062500</v>
      </c>
      <c r="Q371" s="5">
        <v>39375000</v>
      </c>
      <c r="R371" s="5">
        <v>39375000</v>
      </c>
      <c r="S371" s="5">
        <v>39478335</v>
      </c>
    </row>
    <row r="372" spans="1:19" ht="10.9" customHeight="1" x14ac:dyDescent="0.2">
      <c r="F372" s="12" t="s">
        <v>370</v>
      </c>
      <c r="G372" s="5">
        <v>1459042.5</v>
      </c>
      <c r="H372" s="5">
        <v>2162175</v>
      </c>
      <c r="I372" s="5">
        <v>1459042.5</v>
      </c>
      <c r="J372" s="5">
        <v>1512397.5</v>
      </c>
      <c r="K372" s="5">
        <v>1249635</v>
      </c>
      <c r="L372" s="5">
        <v>1249635</v>
      </c>
      <c r="M372" s="5">
        <v>-3188782.5</v>
      </c>
      <c r="N372" s="5">
        <v>1864237.5</v>
      </c>
      <c r="O372" s="5">
        <v>1864237.5</v>
      </c>
      <c r="P372" s="5">
        <v>1864237.5</v>
      </c>
      <c r="Q372" s="5">
        <v>1787625</v>
      </c>
      <c r="R372" s="5">
        <v>1600350</v>
      </c>
      <c r="S372" s="5">
        <v>1089600</v>
      </c>
    </row>
    <row r="373" spans="1:19" ht="10.9" customHeight="1" x14ac:dyDescent="0.2">
      <c r="F373" s="12" t="s">
        <v>371</v>
      </c>
      <c r="G373" s="5">
        <v>813000</v>
      </c>
      <c r="H373" s="5">
        <v>1065000</v>
      </c>
      <c r="I373" s="5">
        <v>813000</v>
      </c>
      <c r="J373" s="5">
        <v>813000</v>
      </c>
      <c r="K373" s="5">
        <v>813000</v>
      </c>
      <c r="L373" s="5">
        <v>813000</v>
      </c>
      <c r="M373" s="5">
        <v>-966000</v>
      </c>
      <c r="N373" s="5">
        <v>1050000</v>
      </c>
      <c r="O373" s="5">
        <v>1050000</v>
      </c>
      <c r="P373" s="5">
        <v>1050000</v>
      </c>
      <c r="Q373" s="5">
        <v>1050000</v>
      </c>
      <c r="R373" s="5">
        <v>1020000</v>
      </c>
      <c r="S373" s="5">
        <v>660000</v>
      </c>
    </row>
    <row r="374" spans="1:19" ht="10.9" customHeight="1" x14ac:dyDescent="0.2">
      <c r="F374" s="12" t="s">
        <v>372</v>
      </c>
      <c r="G374" s="5">
        <v>2869584</v>
      </c>
      <c r="H374" s="5">
        <v>5356250.25</v>
      </c>
      <c r="I374" s="5">
        <v>5283687.75</v>
      </c>
      <c r="J374" s="5">
        <v>4393533.75</v>
      </c>
      <c r="K374" s="5">
        <v>4587500.25</v>
      </c>
      <c r="L374" s="5">
        <v>4587500.25</v>
      </c>
      <c r="M374" s="5">
        <v>6906249.75</v>
      </c>
      <c r="N374" s="5">
        <v>6843750</v>
      </c>
      <c r="O374" s="5">
        <v>6843750</v>
      </c>
      <c r="P374" s="5">
        <v>6843750</v>
      </c>
      <c r="Q374" s="5">
        <v>6562500</v>
      </c>
      <c r="R374" s="5">
        <v>6562500</v>
      </c>
      <c r="S374" s="5">
        <v>6937500</v>
      </c>
    </row>
    <row r="375" spans="1:19" ht="10.9" customHeight="1" x14ac:dyDescent="0.2">
      <c r="F375" s="12" t="s">
        <v>373</v>
      </c>
      <c r="G375" s="5">
        <v>1050010.2449999999</v>
      </c>
      <c r="H375" s="5">
        <v>1816354.7475000001</v>
      </c>
      <c r="I375" s="5">
        <v>2002106.0024999999</v>
      </c>
      <c r="J375" s="5">
        <v>2066765.13</v>
      </c>
      <c r="K375" s="5">
        <v>4608751.3874999993</v>
      </c>
      <c r="L375" s="5">
        <v>5137339.53</v>
      </c>
      <c r="M375" s="5">
        <v>4930043.8874999993</v>
      </c>
      <c r="N375" s="5">
        <v>2625883.9050000003</v>
      </c>
      <c r="O375" s="5">
        <v>9466492.1099999994</v>
      </c>
      <c r="P375" s="5">
        <v>2461953.6375000002</v>
      </c>
      <c r="Q375" s="5">
        <v>1248994.3275000001</v>
      </c>
      <c r="R375" s="5">
        <v>3952146.8625000003</v>
      </c>
      <c r="S375" s="5">
        <v>1715324.6624999999</v>
      </c>
    </row>
    <row r="376" spans="1:19" ht="10.9" customHeight="1" x14ac:dyDescent="0.2">
      <c r="D376" s="13" t="s">
        <v>374</v>
      </c>
      <c r="G376" s="17">
        <f t="shared" ref="G376:S376" si="57">SUM(G371:G375)</f>
        <v>23409140.745000001</v>
      </c>
      <c r="H376" s="17">
        <f t="shared" si="57"/>
        <v>42537279.997500002</v>
      </c>
      <c r="I376" s="17">
        <f t="shared" si="57"/>
        <v>41259961.252499998</v>
      </c>
      <c r="J376" s="17">
        <f t="shared" si="57"/>
        <v>35146898.130000003</v>
      </c>
      <c r="K376" s="17">
        <f t="shared" si="57"/>
        <v>38783886.637500003</v>
      </c>
      <c r="L376" s="17">
        <f t="shared" si="57"/>
        <v>39312474.780000001</v>
      </c>
      <c r="M376" s="17">
        <f t="shared" si="57"/>
        <v>-54158133.862499997</v>
      </c>
      <c r="N376" s="17">
        <f t="shared" si="57"/>
        <v>53446371.405000001</v>
      </c>
      <c r="O376" s="17">
        <f t="shared" si="57"/>
        <v>60286979.609999999</v>
      </c>
      <c r="P376" s="17">
        <f t="shared" si="57"/>
        <v>53282441.137500003</v>
      </c>
      <c r="Q376" s="17">
        <f t="shared" si="57"/>
        <v>50024119.327500001</v>
      </c>
      <c r="R376" s="17">
        <f t="shared" si="57"/>
        <v>52509996.862499997</v>
      </c>
      <c r="S376" s="17">
        <f t="shared" si="57"/>
        <v>49880759.662500001</v>
      </c>
    </row>
    <row r="377" spans="1:19" ht="10.9" customHeight="1" x14ac:dyDescent="0.2">
      <c r="A377" s="11"/>
      <c r="B377" s="11"/>
      <c r="C377" s="11"/>
      <c r="D377" s="11" t="s">
        <v>375</v>
      </c>
      <c r="E377" s="11"/>
      <c r="F377" s="11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</row>
    <row r="378" spans="1:19" ht="10.9" customHeight="1" x14ac:dyDescent="0.2">
      <c r="F378" s="12" t="s">
        <v>376</v>
      </c>
      <c r="G378" s="5">
        <v>21816750</v>
      </c>
      <c r="H378" s="5">
        <v>20964000</v>
      </c>
      <c r="I378" s="5">
        <v>20964000</v>
      </c>
      <c r="J378" s="5">
        <v>20775000</v>
      </c>
      <c r="K378" s="5">
        <v>20775000</v>
      </c>
      <c r="L378" s="5">
        <v>20775000</v>
      </c>
      <c r="M378" s="5">
        <v>20775000</v>
      </c>
      <c r="N378" s="5">
        <v>21375000</v>
      </c>
      <c r="O378" s="5">
        <v>20175000</v>
      </c>
      <c r="P378" s="5">
        <v>19792500</v>
      </c>
      <c r="Q378" s="5">
        <v>19792500</v>
      </c>
      <c r="R378" s="5">
        <v>19042500</v>
      </c>
      <c r="S378" s="5">
        <v>20856204.75</v>
      </c>
    </row>
    <row r="379" spans="1:19" ht="10.9" customHeight="1" x14ac:dyDescent="0.2">
      <c r="F379" s="12" t="s">
        <v>377</v>
      </c>
      <c r="G379" s="5">
        <v>951766.5</v>
      </c>
      <c r="H379" s="5">
        <v>951766.5</v>
      </c>
      <c r="I379" s="5">
        <v>951766.5</v>
      </c>
      <c r="J379" s="5">
        <v>943185</v>
      </c>
      <c r="K379" s="5">
        <v>943185</v>
      </c>
      <c r="L379" s="5">
        <v>943185</v>
      </c>
      <c r="M379" s="5">
        <v>898579.5</v>
      </c>
      <c r="N379" s="5">
        <v>898579.5</v>
      </c>
      <c r="O379" s="5">
        <v>898579.5</v>
      </c>
      <c r="P379" s="5">
        <v>898579.5</v>
      </c>
      <c r="Q379" s="5">
        <v>898579.5</v>
      </c>
      <c r="R379" s="5">
        <v>864529.5</v>
      </c>
      <c r="S379" s="5">
        <v>864529.5</v>
      </c>
    </row>
    <row r="380" spans="1:19" ht="10.9" customHeight="1" x14ac:dyDescent="0.2">
      <c r="F380" s="12" t="s">
        <v>378</v>
      </c>
      <c r="G380" s="5">
        <v>838560</v>
      </c>
      <c r="H380" s="5">
        <v>838560</v>
      </c>
      <c r="I380" s="5">
        <v>838560</v>
      </c>
      <c r="J380" s="5">
        <v>831000</v>
      </c>
      <c r="K380" s="5">
        <v>831000</v>
      </c>
      <c r="L380" s="5">
        <v>831000</v>
      </c>
      <c r="M380" s="5">
        <v>791700</v>
      </c>
      <c r="N380" s="5">
        <v>791700</v>
      </c>
      <c r="O380" s="5">
        <v>791700</v>
      </c>
      <c r="P380" s="5">
        <v>791700</v>
      </c>
      <c r="Q380" s="5">
        <v>791700</v>
      </c>
      <c r="R380" s="5">
        <v>761700</v>
      </c>
      <c r="S380" s="5">
        <v>840150</v>
      </c>
    </row>
    <row r="381" spans="1:19" ht="10.9" customHeight="1" x14ac:dyDescent="0.2">
      <c r="F381" s="12" t="s">
        <v>379</v>
      </c>
      <c r="G381" s="5">
        <v>3636125.25</v>
      </c>
      <c r="H381" s="5">
        <v>3494000.25</v>
      </c>
      <c r="I381" s="5">
        <v>3494000.25</v>
      </c>
      <c r="J381" s="5">
        <v>3462500.25</v>
      </c>
      <c r="K381" s="5">
        <v>3462500.25</v>
      </c>
      <c r="L381" s="5">
        <v>3462500.25</v>
      </c>
      <c r="M381" s="5">
        <v>3462500.25</v>
      </c>
      <c r="N381" s="5">
        <v>3462500.25</v>
      </c>
      <c r="O381" s="5">
        <v>3362499.75</v>
      </c>
      <c r="P381" s="5">
        <v>3298749.75</v>
      </c>
      <c r="Q381" s="5">
        <v>3298749.75</v>
      </c>
      <c r="R381" s="5">
        <v>3500625</v>
      </c>
      <c r="S381" s="5">
        <v>3500625</v>
      </c>
    </row>
    <row r="382" spans="1:19" ht="10.9" customHeight="1" x14ac:dyDescent="0.2">
      <c r="F382" s="12" t="s">
        <v>380</v>
      </c>
      <c r="G382" s="5">
        <v>34335000</v>
      </c>
      <c r="H382" s="5">
        <v>33345000</v>
      </c>
      <c r="I382" s="5">
        <v>29565000</v>
      </c>
      <c r="J382" s="5">
        <v>36720000</v>
      </c>
      <c r="K382" s="5">
        <v>52245000</v>
      </c>
      <c r="L382" s="5">
        <v>52560000</v>
      </c>
      <c r="M382" s="5">
        <v>57487500</v>
      </c>
      <c r="N382" s="5">
        <v>56992500</v>
      </c>
      <c r="O382" s="5">
        <v>51997500</v>
      </c>
      <c r="P382" s="5">
        <v>44550000</v>
      </c>
      <c r="Q382" s="5">
        <v>39420000</v>
      </c>
      <c r="R382" s="5">
        <v>34875000</v>
      </c>
      <c r="S382" s="5">
        <v>33986250</v>
      </c>
    </row>
    <row r="383" spans="1:19" ht="10.9" customHeight="1" x14ac:dyDescent="0.2">
      <c r="F383" s="12" t="s">
        <v>381</v>
      </c>
      <c r="G383" s="5">
        <v>8189374.9950000001</v>
      </c>
      <c r="H383" s="5">
        <v>7068425.8725000005</v>
      </c>
      <c r="I383" s="5">
        <v>7843417.2524999995</v>
      </c>
      <c r="J383" s="5">
        <v>9056144.504999999</v>
      </c>
      <c r="K383" s="5">
        <v>10833208.012499999</v>
      </c>
      <c r="L383" s="5">
        <v>12063543.404999999</v>
      </c>
      <c r="M383" s="5">
        <v>11086505.887499999</v>
      </c>
      <c r="N383" s="5">
        <v>13152154.904999999</v>
      </c>
      <c r="O383" s="5">
        <v>11125991.234999999</v>
      </c>
      <c r="P383" s="5">
        <v>10355862.262499999</v>
      </c>
      <c r="Q383" s="5">
        <v>10790040.577500001</v>
      </c>
      <c r="R383" s="5">
        <v>9638484.4875000007</v>
      </c>
      <c r="S383" s="5">
        <v>7274335.9125000006</v>
      </c>
    </row>
    <row r="384" spans="1:19" ht="10.9" customHeight="1" x14ac:dyDescent="0.2">
      <c r="D384" s="13" t="s">
        <v>382</v>
      </c>
      <c r="G384" s="17">
        <f t="shared" ref="G384:S384" si="58">SUM(G378:G383)</f>
        <v>69767576.745000005</v>
      </c>
      <c r="H384" s="17">
        <f t="shared" si="58"/>
        <v>66661752.622500002</v>
      </c>
      <c r="I384" s="17">
        <f t="shared" si="58"/>
        <v>63656744.002499998</v>
      </c>
      <c r="J384" s="17">
        <f t="shared" si="58"/>
        <v>71787829.754999995</v>
      </c>
      <c r="K384" s="17">
        <f t="shared" si="58"/>
        <v>89089893.262500003</v>
      </c>
      <c r="L384" s="17">
        <f t="shared" si="58"/>
        <v>90635228.655000001</v>
      </c>
      <c r="M384" s="17">
        <f t="shared" si="58"/>
        <v>94501785.637500003</v>
      </c>
      <c r="N384" s="17">
        <f t="shared" si="58"/>
        <v>96672434.655000001</v>
      </c>
      <c r="O384" s="17">
        <f t="shared" si="58"/>
        <v>88351270.484999999</v>
      </c>
      <c r="P384" s="17">
        <f t="shared" si="58"/>
        <v>79687391.512500003</v>
      </c>
      <c r="Q384" s="17">
        <f t="shared" si="58"/>
        <v>74991569.827500001</v>
      </c>
      <c r="R384" s="17">
        <f t="shared" si="58"/>
        <v>68682838.987499997</v>
      </c>
      <c r="S384" s="17">
        <f t="shared" si="58"/>
        <v>67322095.162499994</v>
      </c>
    </row>
    <row r="385" spans="1:19" ht="10.9" customHeight="1" x14ac:dyDescent="0.2">
      <c r="C385" s="13" t="s">
        <v>383</v>
      </c>
      <c r="G385" s="17">
        <f t="shared" ref="G385:S385" si="59">(0 + (G376 + G384))</f>
        <v>93176717.49000001</v>
      </c>
      <c r="H385" s="17">
        <f t="shared" si="59"/>
        <v>109199032.62</v>
      </c>
      <c r="I385" s="17">
        <f t="shared" si="59"/>
        <v>104916705.255</v>
      </c>
      <c r="J385" s="17">
        <f t="shared" si="59"/>
        <v>106934727.88499999</v>
      </c>
      <c r="K385" s="17">
        <f t="shared" si="59"/>
        <v>127873779.90000001</v>
      </c>
      <c r="L385" s="17">
        <f t="shared" si="59"/>
        <v>129947703.435</v>
      </c>
      <c r="M385" s="17">
        <f t="shared" si="59"/>
        <v>40343651.775000006</v>
      </c>
      <c r="N385" s="17">
        <f t="shared" si="59"/>
        <v>150118806.06</v>
      </c>
      <c r="O385" s="17">
        <f t="shared" si="59"/>
        <v>148638250.095</v>
      </c>
      <c r="P385" s="17">
        <f t="shared" si="59"/>
        <v>132969832.65000001</v>
      </c>
      <c r="Q385" s="17">
        <f t="shared" si="59"/>
        <v>125015689.155</v>
      </c>
      <c r="R385" s="17">
        <f t="shared" si="59"/>
        <v>121192835.84999999</v>
      </c>
      <c r="S385" s="17">
        <f t="shared" si="59"/>
        <v>117202854.82499999</v>
      </c>
    </row>
    <row r="386" spans="1:19" ht="10.9" customHeight="1" x14ac:dyDescent="0.2">
      <c r="B386" s="13" t="s">
        <v>384</v>
      </c>
      <c r="G386" s="17">
        <f t="shared" ref="G386:S386" si="60">(0 + (((G339 + G360) + G368) + G385))</f>
        <v>448442494.71000004</v>
      </c>
      <c r="H386" s="17">
        <f t="shared" si="60"/>
        <v>455287146.11250001</v>
      </c>
      <c r="I386" s="17">
        <f t="shared" si="60"/>
        <v>443008965.26999998</v>
      </c>
      <c r="J386" s="17">
        <f t="shared" si="60"/>
        <v>442816650.17249995</v>
      </c>
      <c r="K386" s="17">
        <f t="shared" si="60"/>
        <v>481783709.60249996</v>
      </c>
      <c r="L386" s="17">
        <f t="shared" si="60"/>
        <v>521288484.315</v>
      </c>
      <c r="M386" s="17">
        <f t="shared" si="60"/>
        <v>419422833.83249998</v>
      </c>
      <c r="N386" s="17">
        <f t="shared" si="60"/>
        <v>595744494.11999989</v>
      </c>
      <c r="O386" s="17">
        <f t="shared" si="60"/>
        <v>601848800.505</v>
      </c>
      <c r="P386" s="17">
        <f t="shared" si="60"/>
        <v>564312182.85000002</v>
      </c>
      <c r="Q386" s="17">
        <f t="shared" si="60"/>
        <v>534734865.87</v>
      </c>
      <c r="R386" s="17">
        <f t="shared" si="60"/>
        <v>503746962.89999998</v>
      </c>
      <c r="S386" s="17">
        <f t="shared" si="60"/>
        <v>501666352.76249999</v>
      </c>
    </row>
    <row r="387" spans="1:19" ht="10.9" customHeight="1" x14ac:dyDescent="0.2">
      <c r="A387" s="13" t="s">
        <v>385</v>
      </c>
      <c r="G387" s="17">
        <f t="shared" ref="G387:S387" si="61">(0 + (G305 + G386))</f>
        <v>680747091.69000006</v>
      </c>
      <c r="H387" s="17">
        <f t="shared" si="61"/>
        <v>708763052.23500001</v>
      </c>
      <c r="I387" s="17">
        <f t="shared" si="61"/>
        <v>681547249.52999997</v>
      </c>
      <c r="J387" s="17">
        <f t="shared" si="61"/>
        <v>709195811.69999993</v>
      </c>
      <c r="K387" s="17">
        <f t="shared" si="61"/>
        <v>772994446.64999998</v>
      </c>
      <c r="L387" s="17">
        <f t="shared" si="61"/>
        <v>839018542.93499994</v>
      </c>
      <c r="M387" s="17">
        <f t="shared" si="61"/>
        <v>702351397.13249993</v>
      </c>
      <c r="N387" s="17">
        <f t="shared" si="61"/>
        <v>887560531.20749986</v>
      </c>
      <c r="O387" s="17">
        <f t="shared" si="61"/>
        <v>894854868.19500005</v>
      </c>
      <c r="P387" s="17">
        <f t="shared" si="61"/>
        <v>802588876.6500001</v>
      </c>
      <c r="Q387" s="17">
        <f t="shared" si="61"/>
        <v>749899710.93000007</v>
      </c>
      <c r="R387" s="17">
        <f t="shared" si="61"/>
        <v>752549864.8499999</v>
      </c>
      <c r="S387" s="17">
        <f t="shared" si="61"/>
        <v>734253482.625</v>
      </c>
    </row>
    <row r="388" spans="1:19" ht="13.35" customHeight="1" x14ac:dyDescent="0.25">
      <c r="G388"/>
      <c r="H388"/>
      <c r="I388"/>
      <c r="J388"/>
      <c r="K388"/>
      <c r="L388"/>
      <c r="M388"/>
      <c r="N388"/>
      <c r="O388"/>
      <c r="P388"/>
      <c r="Q388"/>
      <c r="R388"/>
      <c r="S388"/>
    </row>
    <row r="389" spans="1:19" ht="10.9" customHeight="1" x14ac:dyDescent="0.2">
      <c r="F389" s="14" t="s">
        <v>386</v>
      </c>
      <c r="G389" s="20">
        <f t="shared" ref="G389:S389" si="62">(((G35 - G59) - G387) - G265)</f>
        <v>319059605.67499983</v>
      </c>
      <c r="H389" s="20">
        <f t="shared" si="62"/>
        <v>632674578.08999991</v>
      </c>
      <c r="I389" s="20">
        <f t="shared" si="62"/>
        <v>192721670.7075001</v>
      </c>
      <c r="J389" s="20">
        <f t="shared" si="62"/>
        <v>345780800.4849999</v>
      </c>
      <c r="K389" s="20">
        <f t="shared" si="62"/>
        <v>297019827.7674998</v>
      </c>
      <c r="L389" s="20">
        <f t="shared" si="62"/>
        <v>944202734.61749983</v>
      </c>
      <c r="M389" s="20">
        <f t="shared" si="62"/>
        <v>511278109.84000015</v>
      </c>
      <c r="N389" s="20">
        <f t="shared" si="62"/>
        <v>1758387528.7875004</v>
      </c>
      <c r="O389" s="20">
        <f t="shared" si="62"/>
        <v>738472410.18749976</v>
      </c>
      <c r="P389" s="20">
        <f t="shared" si="62"/>
        <v>482150434.88000011</v>
      </c>
      <c r="Q389" s="20">
        <f t="shared" si="62"/>
        <v>686657982.23500001</v>
      </c>
      <c r="R389" s="20">
        <f t="shared" si="62"/>
        <v>428529887.37250006</v>
      </c>
      <c r="S389" s="20">
        <f t="shared" si="62"/>
        <v>109605407.94</v>
      </c>
    </row>
    <row r="390" spans="1:19" ht="13.35" customHeight="1" x14ac:dyDescent="0.25">
      <c r="G390"/>
      <c r="H390"/>
      <c r="I390"/>
      <c r="J390"/>
      <c r="K390"/>
      <c r="L390"/>
      <c r="M390"/>
      <c r="N390"/>
      <c r="O390"/>
      <c r="P390"/>
      <c r="Q390"/>
      <c r="R390"/>
      <c r="S390"/>
    </row>
    <row r="391" spans="1:19" s="9" customFormat="1" ht="12.2" customHeight="1" x14ac:dyDescent="0.2">
      <c r="A391" s="6" t="s">
        <v>387</v>
      </c>
      <c r="B391" s="6"/>
      <c r="C391" s="6"/>
      <c r="D391" s="6"/>
      <c r="E391" s="6"/>
      <c r="F391" s="6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</row>
    <row r="392" spans="1:19" ht="10.9" customHeight="1" x14ac:dyDescent="0.2">
      <c r="A392" s="11"/>
      <c r="B392" s="11" t="s">
        <v>35</v>
      </c>
      <c r="C392" s="11"/>
      <c r="D392" s="11"/>
      <c r="E392" s="11"/>
      <c r="F392" s="11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</row>
    <row r="393" spans="1:19" ht="10.9" customHeight="1" x14ac:dyDescent="0.2">
      <c r="F393" s="12" t="s">
        <v>388</v>
      </c>
      <c r="G393" s="5">
        <v>90000</v>
      </c>
      <c r="H393" s="5">
        <v>0</v>
      </c>
      <c r="I393" s="5">
        <v>221250</v>
      </c>
      <c r="J393" s="5">
        <v>0</v>
      </c>
      <c r="K393" s="5">
        <v>519846.75</v>
      </c>
      <c r="L393" s="5">
        <v>573750</v>
      </c>
      <c r="M393" s="5">
        <v>0</v>
      </c>
      <c r="N393" s="5">
        <v>0</v>
      </c>
      <c r="O393" s="5">
        <v>0</v>
      </c>
      <c r="P393" s="5">
        <v>675000</v>
      </c>
      <c r="Q393" s="5">
        <v>2150976</v>
      </c>
      <c r="R393" s="5">
        <v>0</v>
      </c>
      <c r="S393" s="5">
        <v>3361158</v>
      </c>
    </row>
    <row r="394" spans="1:19" ht="10.9" customHeight="1" x14ac:dyDescent="0.2">
      <c r="F394" s="12" t="s">
        <v>389</v>
      </c>
      <c r="G394" s="5">
        <v>18749.805</v>
      </c>
      <c r="H394" s="5">
        <v>-57.652500000000003</v>
      </c>
      <c r="I394" s="5">
        <v>8725.59</v>
      </c>
      <c r="J394" s="5">
        <v>-191560.38750000001</v>
      </c>
      <c r="K394" s="5">
        <v>3679.44</v>
      </c>
      <c r="L394" s="5">
        <v>183454.71</v>
      </c>
      <c r="M394" s="5">
        <v>0</v>
      </c>
      <c r="N394" s="5">
        <v>0</v>
      </c>
      <c r="O394" s="5">
        <v>-7.4999999999999997E-3</v>
      </c>
      <c r="P394" s="5">
        <v>0</v>
      </c>
      <c r="Q394" s="5">
        <v>0</v>
      </c>
      <c r="R394" s="5">
        <v>0</v>
      </c>
      <c r="S394" s="5">
        <v>0</v>
      </c>
    </row>
    <row r="395" spans="1:19" ht="10.9" customHeight="1" x14ac:dyDescent="0.2">
      <c r="F395" s="12" t="s">
        <v>390</v>
      </c>
      <c r="G395" s="5">
        <v>0</v>
      </c>
      <c r="H395" s="5">
        <v>0</v>
      </c>
      <c r="I395" s="5">
        <v>0</v>
      </c>
      <c r="J395" s="5">
        <v>0</v>
      </c>
      <c r="K395" s="5">
        <v>0</v>
      </c>
      <c r="L395" s="5">
        <v>0</v>
      </c>
      <c r="M395" s="5">
        <v>0</v>
      </c>
      <c r="N395" s="5">
        <v>0</v>
      </c>
      <c r="O395" s="5">
        <v>0</v>
      </c>
      <c r="P395" s="5">
        <v>0</v>
      </c>
      <c r="Q395" s="5">
        <v>0</v>
      </c>
      <c r="R395" s="5">
        <v>0</v>
      </c>
      <c r="S395" s="5">
        <v>553209.57000000007</v>
      </c>
    </row>
    <row r="396" spans="1:19" ht="10.9" customHeight="1" x14ac:dyDescent="0.2">
      <c r="F396" s="12" t="s">
        <v>391</v>
      </c>
      <c r="G396" s="5">
        <v>0</v>
      </c>
      <c r="H396" s="5">
        <v>0</v>
      </c>
      <c r="I396" s="5">
        <v>0</v>
      </c>
      <c r="J396" s="5">
        <v>71361807.570000008</v>
      </c>
      <c r="K396" s="5">
        <v>-217420.9725</v>
      </c>
      <c r="L396" s="5">
        <v>-283525.84500000003</v>
      </c>
      <c r="M396" s="5">
        <v>0</v>
      </c>
      <c r="N396" s="5">
        <v>0</v>
      </c>
      <c r="O396" s="5">
        <v>0</v>
      </c>
      <c r="P396" s="5">
        <v>0</v>
      </c>
      <c r="Q396" s="5">
        <v>0</v>
      </c>
      <c r="R396" s="5">
        <v>0</v>
      </c>
      <c r="S396" s="5">
        <v>0</v>
      </c>
    </row>
    <row r="397" spans="1:19" ht="10.9" customHeight="1" x14ac:dyDescent="0.2">
      <c r="B397" s="13" t="s">
        <v>41</v>
      </c>
      <c r="G397" s="17">
        <f t="shared" ref="G397:S397" si="63">SUM(G393:G396)</f>
        <v>108749.80499999999</v>
      </c>
      <c r="H397" s="17">
        <f t="shared" si="63"/>
        <v>-57.652500000000003</v>
      </c>
      <c r="I397" s="17">
        <f t="shared" si="63"/>
        <v>229975.59</v>
      </c>
      <c r="J397" s="17">
        <f t="shared" si="63"/>
        <v>71170247.182500005</v>
      </c>
      <c r="K397" s="17">
        <f t="shared" si="63"/>
        <v>306105.21750000003</v>
      </c>
      <c r="L397" s="17">
        <f t="shared" si="63"/>
        <v>473678.86499999993</v>
      </c>
      <c r="M397" s="17">
        <f t="shared" si="63"/>
        <v>0</v>
      </c>
      <c r="N397" s="17">
        <f t="shared" si="63"/>
        <v>0</v>
      </c>
      <c r="O397" s="17">
        <f t="shared" si="63"/>
        <v>-7.4999999999999997E-3</v>
      </c>
      <c r="P397" s="17">
        <f t="shared" si="63"/>
        <v>675000</v>
      </c>
      <c r="Q397" s="17">
        <f t="shared" si="63"/>
        <v>2150976</v>
      </c>
      <c r="R397" s="17">
        <f t="shared" si="63"/>
        <v>0</v>
      </c>
      <c r="S397" s="17">
        <f t="shared" si="63"/>
        <v>3914367.5700000003</v>
      </c>
    </row>
    <row r="398" spans="1:19" ht="10.9" customHeight="1" x14ac:dyDescent="0.2">
      <c r="A398" s="11"/>
      <c r="B398" s="11" t="s">
        <v>66</v>
      </c>
      <c r="C398" s="11"/>
      <c r="D398" s="11"/>
      <c r="E398" s="11"/>
      <c r="F398" s="11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</row>
    <row r="399" spans="1:19" ht="10.9" customHeight="1" x14ac:dyDescent="0.2">
      <c r="F399" s="12" t="s">
        <v>392</v>
      </c>
      <c r="G399" s="5">
        <v>0</v>
      </c>
      <c r="H399" s="5">
        <v>0</v>
      </c>
      <c r="I399" s="5">
        <v>0</v>
      </c>
      <c r="J399" s="5">
        <v>0</v>
      </c>
      <c r="K399" s="5">
        <v>0</v>
      </c>
      <c r="L399" s="5">
        <v>16796444.25</v>
      </c>
      <c r="M399" s="5">
        <v>0</v>
      </c>
      <c r="N399" s="5">
        <v>0</v>
      </c>
      <c r="O399" s="5">
        <v>0</v>
      </c>
      <c r="P399" s="5">
        <v>0</v>
      </c>
      <c r="Q399" s="5">
        <v>0</v>
      </c>
      <c r="R399" s="5">
        <v>0</v>
      </c>
      <c r="S399" s="5">
        <v>0</v>
      </c>
    </row>
    <row r="400" spans="1:19" ht="10.9" customHeight="1" x14ac:dyDescent="0.2">
      <c r="F400" s="12" t="s">
        <v>393</v>
      </c>
      <c r="G400" s="5">
        <v>52511223.75</v>
      </c>
      <c r="H400" s="5">
        <v>69946038</v>
      </c>
      <c r="I400" s="5">
        <v>48816466.5</v>
      </c>
      <c r="J400" s="5">
        <v>64419229.5</v>
      </c>
      <c r="K400" s="5">
        <v>66277557.75</v>
      </c>
      <c r="L400" s="5">
        <v>104662479</v>
      </c>
      <c r="M400" s="5">
        <v>89852096.25</v>
      </c>
      <c r="N400" s="5">
        <v>130805004</v>
      </c>
      <c r="O400" s="5">
        <v>101065621.5</v>
      </c>
      <c r="P400" s="5">
        <v>68219465.25</v>
      </c>
      <c r="Q400" s="5">
        <v>66105550.5</v>
      </c>
      <c r="R400" s="5">
        <v>59427973.5</v>
      </c>
      <c r="S400" s="5">
        <v>44962974</v>
      </c>
    </row>
    <row r="401" spans="1:19" ht="10.9" customHeight="1" x14ac:dyDescent="0.2">
      <c r="F401" s="12" t="s">
        <v>394</v>
      </c>
      <c r="G401" s="5">
        <v>-503424545.25</v>
      </c>
      <c r="H401" s="5">
        <v>251707837.5</v>
      </c>
      <c r="I401" s="5">
        <v>251716707.75</v>
      </c>
      <c r="J401" s="5">
        <v>250374309.75</v>
      </c>
      <c r="K401" s="5">
        <v>249631793.25</v>
      </c>
      <c r="L401" s="5">
        <v>249607700.25</v>
      </c>
      <c r="M401" s="5">
        <v>250338374.25</v>
      </c>
      <c r="N401" s="5">
        <v>246564128.86500001</v>
      </c>
      <c r="O401" s="5">
        <v>247549671</v>
      </c>
      <c r="P401" s="5">
        <v>243300320.1825</v>
      </c>
      <c r="Q401" s="5">
        <v>244404362.13</v>
      </c>
      <c r="R401" s="5">
        <v>243010609.84499997</v>
      </c>
      <c r="S401" s="5">
        <v>249594409.08749998</v>
      </c>
    </row>
    <row r="402" spans="1:19" ht="10.9" customHeight="1" x14ac:dyDescent="0.2">
      <c r="F402" s="12" t="s">
        <v>395</v>
      </c>
      <c r="G402" s="5">
        <v>44553674.25</v>
      </c>
      <c r="H402" s="5">
        <v>44050424.25</v>
      </c>
      <c r="I402" s="5">
        <v>44050424.25</v>
      </c>
      <c r="J402" s="5">
        <v>43815504</v>
      </c>
      <c r="K402" s="5">
        <v>43685563.5</v>
      </c>
      <c r="L402" s="5">
        <v>43681347.75</v>
      </c>
      <c r="M402" s="5">
        <v>43809215.25</v>
      </c>
      <c r="N402" s="5">
        <v>43148722.5</v>
      </c>
      <c r="O402" s="5">
        <v>43321192.5</v>
      </c>
      <c r="P402" s="5">
        <v>42577556.25</v>
      </c>
      <c r="Q402" s="5">
        <v>42770763</v>
      </c>
      <c r="R402" s="5">
        <v>43586333.25</v>
      </c>
      <c r="S402" s="5">
        <v>43679021.25</v>
      </c>
    </row>
    <row r="403" spans="1:19" ht="10.9" customHeight="1" x14ac:dyDescent="0.2">
      <c r="F403" s="12" t="s">
        <v>396</v>
      </c>
      <c r="G403" s="5">
        <v>77894768.25</v>
      </c>
      <c r="H403" s="5">
        <v>62929176.75</v>
      </c>
      <c r="I403" s="5">
        <v>62929176.75</v>
      </c>
      <c r="J403" s="5">
        <v>62593577.25</v>
      </c>
      <c r="K403" s="5">
        <v>62407948.5</v>
      </c>
      <c r="L403" s="5">
        <v>103046613.75</v>
      </c>
      <c r="M403" s="5">
        <v>62584593.75</v>
      </c>
      <c r="N403" s="5">
        <v>224356854.24000001</v>
      </c>
      <c r="O403" s="5">
        <v>80442986.25</v>
      </c>
      <c r="P403" s="5">
        <v>60825080.25</v>
      </c>
      <c r="Q403" s="5">
        <v>61491255.75</v>
      </c>
      <c r="R403" s="5">
        <v>62266190.25</v>
      </c>
      <c r="S403" s="5">
        <v>62398602</v>
      </c>
    </row>
    <row r="404" spans="1:19" ht="10.9" customHeight="1" x14ac:dyDescent="0.2">
      <c r="F404" s="12" t="s">
        <v>397</v>
      </c>
      <c r="G404" s="5">
        <v>0</v>
      </c>
      <c r="H404" s="5">
        <v>0</v>
      </c>
      <c r="I404" s="5">
        <v>0</v>
      </c>
      <c r="J404" s="5">
        <v>-0.375</v>
      </c>
      <c r="K404" s="5">
        <v>0</v>
      </c>
      <c r="L404" s="5">
        <v>0</v>
      </c>
      <c r="M404" s="5">
        <v>0</v>
      </c>
      <c r="N404" s="5">
        <v>0</v>
      </c>
      <c r="O404" s="5">
        <v>0</v>
      </c>
      <c r="P404" s="5">
        <v>0</v>
      </c>
      <c r="Q404" s="5">
        <v>0</v>
      </c>
      <c r="R404" s="5">
        <v>0</v>
      </c>
      <c r="S404" s="5">
        <v>0</v>
      </c>
    </row>
    <row r="405" spans="1:19" ht="10.9" customHeight="1" x14ac:dyDescent="0.2">
      <c r="F405" s="12" t="s">
        <v>398</v>
      </c>
      <c r="G405" s="5">
        <v>-631.20000000000005</v>
      </c>
      <c r="H405" s="5">
        <v>-7.6425000000000001</v>
      </c>
      <c r="I405" s="5">
        <v>-0.5625</v>
      </c>
      <c r="J405" s="5">
        <v>1.35</v>
      </c>
      <c r="K405" s="5">
        <v>1.62</v>
      </c>
      <c r="L405" s="5">
        <v>2.3925000000000001</v>
      </c>
      <c r="M405" s="5">
        <v>226.17750000000001</v>
      </c>
      <c r="N405" s="5">
        <v>-0.69750000000000001</v>
      </c>
      <c r="O405" s="5">
        <v>1.3800000000000001</v>
      </c>
      <c r="P405" s="5">
        <v>-0.33750000000000002</v>
      </c>
      <c r="Q405" s="5">
        <v>0.89249999999999996</v>
      </c>
      <c r="R405" s="5">
        <v>-7.4999999999999997E-3</v>
      </c>
      <c r="S405" s="5">
        <v>0.70499999999999996</v>
      </c>
    </row>
    <row r="406" spans="1:19" ht="10.9" customHeight="1" x14ac:dyDescent="0.2">
      <c r="B406" s="13" t="s">
        <v>266</v>
      </c>
      <c r="G406" s="17">
        <f t="shared" ref="G406:S406" si="64">SUM(G399:G405)</f>
        <v>-328465510.19999999</v>
      </c>
      <c r="H406" s="17">
        <f t="shared" si="64"/>
        <v>428633468.85750002</v>
      </c>
      <c r="I406" s="17">
        <f t="shared" si="64"/>
        <v>407512774.6875</v>
      </c>
      <c r="J406" s="17">
        <f t="shared" si="64"/>
        <v>421202621.47500002</v>
      </c>
      <c r="K406" s="17">
        <f t="shared" si="64"/>
        <v>422002864.62</v>
      </c>
      <c r="L406" s="17">
        <f t="shared" si="64"/>
        <v>517794587.39249998</v>
      </c>
      <c r="M406" s="17">
        <f t="shared" si="64"/>
        <v>446584505.67750001</v>
      </c>
      <c r="N406" s="17">
        <f t="shared" si="64"/>
        <v>644874708.90750003</v>
      </c>
      <c r="O406" s="17">
        <f t="shared" si="64"/>
        <v>472379472.63</v>
      </c>
      <c r="P406" s="17">
        <f t="shared" si="64"/>
        <v>414922421.59500003</v>
      </c>
      <c r="Q406" s="17">
        <f t="shared" si="64"/>
        <v>414771932.27249998</v>
      </c>
      <c r="R406" s="17">
        <f t="shared" si="64"/>
        <v>408291106.83749998</v>
      </c>
      <c r="S406" s="17">
        <f t="shared" si="64"/>
        <v>400635007.04249996</v>
      </c>
    </row>
    <row r="407" spans="1:19" ht="10.9" customHeight="1" x14ac:dyDescent="0.2">
      <c r="A407" s="13" t="s">
        <v>399</v>
      </c>
      <c r="G407" s="17">
        <f t="shared" ref="G407:S407" si="65">(0 + (G397 - G406))</f>
        <v>328574260.005</v>
      </c>
      <c r="H407" s="17">
        <f t="shared" si="65"/>
        <v>-428633526.50999999</v>
      </c>
      <c r="I407" s="17">
        <f t="shared" si="65"/>
        <v>-407282799.09750003</v>
      </c>
      <c r="J407" s="17">
        <f t="shared" si="65"/>
        <v>-350032374.29250002</v>
      </c>
      <c r="K407" s="17">
        <f t="shared" si="65"/>
        <v>-421696759.40250003</v>
      </c>
      <c r="L407" s="17">
        <f t="shared" si="65"/>
        <v>-517320908.52749997</v>
      </c>
      <c r="M407" s="17">
        <f t="shared" si="65"/>
        <v>-446584505.67750001</v>
      </c>
      <c r="N407" s="17">
        <f t="shared" si="65"/>
        <v>-644874708.90750003</v>
      </c>
      <c r="O407" s="17">
        <f t="shared" si="65"/>
        <v>-472379472.63749999</v>
      </c>
      <c r="P407" s="17">
        <f t="shared" si="65"/>
        <v>-414247421.59500003</v>
      </c>
      <c r="Q407" s="17">
        <f t="shared" si="65"/>
        <v>-412620956.27249998</v>
      </c>
      <c r="R407" s="17">
        <f t="shared" si="65"/>
        <v>-408291106.83749998</v>
      </c>
      <c r="S407" s="17">
        <f t="shared" si="65"/>
        <v>-396720639.47249997</v>
      </c>
    </row>
    <row r="408" spans="1:19" ht="13.35" customHeight="1" x14ac:dyDescent="0.25">
      <c r="G408"/>
      <c r="H408"/>
      <c r="I408"/>
      <c r="J408"/>
      <c r="K408"/>
      <c r="L408"/>
      <c r="M408"/>
      <c r="N408"/>
      <c r="O408"/>
      <c r="P408"/>
      <c r="Q408"/>
      <c r="R408"/>
      <c r="S408"/>
    </row>
    <row r="409" spans="1:19" ht="10.9" customHeight="1" x14ac:dyDescent="0.2">
      <c r="F409" s="14" t="s">
        <v>400</v>
      </c>
      <c r="G409" s="20">
        <f t="shared" ref="G409:S409" si="66">(G389 + G407)</f>
        <v>647633865.67999983</v>
      </c>
      <c r="H409" s="20">
        <f t="shared" si="66"/>
        <v>204041051.57999992</v>
      </c>
      <c r="I409" s="20">
        <f t="shared" si="66"/>
        <v>-214561128.38999993</v>
      </c>
      <c r="J409" s="20">
        <f t="shared" si="66"/>
        <v>-4251573.807500124</v>
      </c>
      <c r="K409" s="20">
        <f t="shared" si="66"/>
        <v>-124676931.63500023</v>
      </c>
      <c r="L409" s="20">
        <f t="shared" si="66"/>
        <v>426881826.08999985</v>
      </c>
      <c r="M409" s="20">
        <f t="shared" si="66"/>
        <v>64693604.162500143</v>
      </c>
      <c r="N409" s="20">
        <f t="shared" si="66"/>
        <v>1113512819.8800004</v>
      </c>
      <c r="O409" s="20">
        <f t="shared" si="66"/>
        <v>266092937.54999977</v>
      </c>
      <c r="P409" s="20">
        <f t="shared" si="66"/>
        <v>67903013.285000086</v>
      </c>
      <c r="Q409" s="20">
        <f t="shared" si="66"/>
        <v>274037025.96250004</v>
      </c>
      <c r="R409" s="20">
        <f t="shared" si="66"/>
        <v>20238780.535000086</v>
      </c>
      <c r="S409" s="20">
        <f t="shared" si="66"/>
        <v>-287115231.53249997</v>
      </c>
    </row>
    <row r="410" spans="1:19" ht="13.35" customHeight="1" x14ac:dyDescent="0.25">
      <c r="G410"/>
      <c r="H410"/>
      <c r="I410"/>
      <c r="J410"/>
      <c r="K410"/>
      <c r="L410"/>
      <c r="M410"/>
      <c r="N410"/>
      <c r="O410"/>
      <c r="P410"/>
      <c r="Q410"/>
      <c r="R410"/>
      <c r="S410"/>
    </row>
    <row r="411" spans="1:19" s="9" customFormat="1" ht="12.2" customHeight="1" x14ac:dyDescent="0.2">
      <c r="A411" s="6" t="s">
        <v>401</v>
      </c>
      <c r="B411" s="6"/>
      <c r="C411" s="6"/>
      <c r="D411" s="6"/>
      <c r="E411" s="6"/>
      <c r="F411" s="6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</row>
    <row r="412" spans="1:19" ht="10.9" customHeight="1" x14ac:dyDescent="0.2">
      <c r="A412" s="11"/>
      <c r="B412" s="11" t="s">
        <v>402</v>
      </c>
      <c r="C412" s="11"/>
      <c r="D412" s="11"/>
      <c r="E412" s="11"/>
      <c r="F412" s="11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</row>
    <row r="413" spans="1:19" ht="10.9" customHeight="1" x14ac:dyDescent="0.2">
      <c r="F413" s="12" t="s">
        <v>403</v>
      </c>
      <c r="G413" s="5">
        <v>86282697</v>
      </c>
      <c r="H413" s="5">
        <v>86282697</v>
      </c>
      <c r="I413" s="5">
        <v>86282697</v>
      </c>
      <c r="J413" s="5">
        <v>86282697</v>
      </c>
      <c r="K413" s="5">
        <v>86282697</v>
      </c>
      <c r="L413" s="5">
        <v>86282697</v>
      </c>
      <c r="M413" s="5">
        <v>86282697</v>
      </c>
      <c r="N413" s="5">
        <v>86282697</v>
      </c>
      <c r="O413" s="5">
        <v>86282697</v>
      </c>
      <c r="P413" s="5">
        <v>86282697</v>
      </c>
      <c r="Q413" s="5">
        <v>86282697</v>
      </c>
      <c r="R413" s="5">
        <v>86282697</v>
      </c>
      <c r="S413" s="5">
        <v>86282697</v>
      </c>
    </row>
    <row r="414" spans="1:19" ht="10.9" customHeight="1" x14ac:dyDescent="0.2">
      <c r="F414" s="12" t="s">
        <v>404</v>
      </c>
      <c r="G414" s="5">
        <v>672656.25</v>
      </c>
      <c r="H414" s="5">
        <v>348437.25</v>
      </c>
      <c r="I414" s="5">
        <v>195964.5</v>
      </c>
      <c r="J414" s="5">
        <v>195964.5</v>
      </c>
      <c r="K414" s="5">
        <v>195964.5</v>
      </c>
      <c r="L414" s="5">
        <v>195964.5</v>
      </c>
      <c r="M414" s="5">
        <v>195964.5</v>
      </c>
      <c r="N414" s="5">
        <v>195964.5</v>
      </c>
      <c r="O414" s="5">
        <v>195964.5</v>
      </c>
      <c r="P414" s="5">
        <v>123151.5</v>
      </c>
      <c r="Q414" s="5">
        <v>123151.5</v>
      </c>
      <c r="R414" s="5">
        <v>250104.75</v>
      </c>
      <c r="S414" s="5">
        <v>261823.5</v>
      </c>
    </row>
    <row r="415" spans="1:19" ht="10.9" customHeight="1" x14ac:dyDescent="0.2">
      <c r="F415" s="12" t="s">
        <v>405</v>
      </c>
      <c r="G415" s="5">
        <v>2342580</v>
      </c>
      <c r="H415" s="5">
        <v>2320704.75</v>
      </c>
      <c r="I415" s="5">
        <v>3528204.75</v>
      </c>
      <c r="J415" s="5">
        <v>3413278.5</v>
      </c>
      <c r="K415" s="5">
        <v>3413278.5</v>
      </c>
      <c r="L415" s="5">
        <v>4380755.25</v>
      </c>
      <c r="M415" s="5">
        <v>4395833.25</v>
      </c>
      <c r="N415" s="5">
        <v>4350851.25</v>
      </c>
      <c r="O415" s="5">
        <v>4140714.75</v>
      </c>
      <c r="P415" s="5">
        <v>3883847.25</v>
      </c>
      <c r="Q415" s="5">
        <v>3989316</v>
      </c>
      <c r="R415" s="5">
        <v>4045566</v>
      </c>
      <c r="S415" s="5">
        <v>4150097.25</v>
      </c>
    </row>
    <row r="416" spans="1:19" ht="10.9" customHeight="1" x14ac:dyDescent="0.2">
      <c r="F416" s="12" t="s">
        <v>406</v>
      </c>
      <c r="G416" s="5">
        <v>30164949</v>
      </c>
      <c r="H416" s="5">
        <v>29850495.75</v>
      </c>
      <c r="I416" s="5">
        <v>30253855.5</v>
      </c>
      <c r="J416" s="5">
        <v>30102150.75</v>
      </c>
      <c r="K416" s="5">
        <v>30199025.25</v>
      </c>
      <c r="L416" s="5">
        <v>30179494.5</v>
      </c>
      <c r="M416" s="5">
        <v>30207345.75</v>
      </c>
      <c r="N416" s="5">
        <v>30303244.5</v>
      </c>
      <c r="O416" s="5">
        <v>30253513.5</v>
      </c>
      <c r="P416" s="5">
        <v>30253513.5</v>
      </c>
      <c r="Q416" s="5">
        <v>30253513.5</v>
      </c>
      <c r="R416" s="5">
        <v>30253513.5</v>
      </c>
      <c r="S416" s="5">
        <v>30253513.5</v>
      </c>
    </row>
    <row r="417" spans="1:19" ht="10.9" customHeight="1" x14ac:dyDescent="0.2">
      <c r="F417" s="12" t="s">
        <v>407</v>
      </c>
      <c r="G417" s="5">
        <v>4125000</v>
      </c>
      <c r="H417" s="5">
        <v>4125000</v>
      </c>
      <c r="I417" s="5">
        <v>4125000</v>
      </c>
      <c r="J417" s="5">
        <v>4125000</v>
      </c>
      <c r="K417" s="5">
        <v>4125000</v>
      </c>
      <c r="L417" s="5">
        <v>4125000</v>
      </c>
      <c r="M417" s="5">
        <v>4125000</v>
      </c>
      <c r="N417" s="5">
        <v>4125000</v>
      </c>
      <c r="O417" s="5">
        <v>4125000</v>
      </c>
      <c r="P417" s="5">
        <v>4125000</v>
      </c>
      <c r="Q417" s="5">
        <v>4125000</v>
      </c>
      <c r="R417" s="5">
        <v>4125000</v>
      </c>
      <c r="S417" s="5">
        <v>4125000</v>
      </c>
    </row>
    <row r="418" spans="1:19" ht="10.9" customHeight="1" x14ac:dyDescent="0.2">
      <c r="F418" s="12" t="s">
        <v>408</v>
      </c>
      <c r="G418" s="5">
        <v>362499.75</v>
      </c>
      <c r="H418" s="5">
        <v>362499.75</v>
      </c>
      <c r="I418" s="5">
        <v>362499.75</v>
      </c>
      <c r="J418" s="5">
        <v>362499.75</v>
      </c>
      <c r="K418" s="5">
        <v>362499.75</v>
      </c>
      <c r="L418" s="5">
        <v>362499.75</v>
      </c>
      <c r="M418" s="5">
        <v>362499.75</v>
      </c>
      <c r="N418" s="5">
        <v>362499.75</v>
      </c>
      <c r="O418" s="5">
        <v>362499.75</v>
      </c>
      <c r="P418" s="5">
        <v>362499.75</v>
      </c>
      <c r="Q418" s="5">
        <v>362499.75</v>
      </c>
      <c r="R418" s="5">
        <v>362499.75</v>
      </c>
      <c r="S418" s="5">
        <v>362499.75</v>
      </c>
    </row>
    <row r="419" spans="1:19" ht="10.9" customHeight="1" x14ac:dyDescent="0.2">
      <c r="F419" s="12" t="s">
        <v>409</v>
      </c>
      <c r="G419" s="5">
        <v>323437.5</v>
      </c>
      <c r="H419" s="5">
        <v>323437.5</v>
      </c>
      <c r="I419" s="5">
        <v>323437.5</v>
      </c>
      <c r="J419" s="5">
        <v>323437.5</v>
      </c>
      <c r="K419" s="5">
        <v>323437.5</v>
      </c>
      <c r="L419" s="5">
        <v>323437.5</v>
      </c>
      <c r="M419" s="5">
        <v>323437.5</v>
      </c>
      <c r="N419" s="5">
        <v>323437.5</v>
      </c>
      <c r="O419" s="5">
        <v>323437.5</v>
      </c>
      <c r="P419" s="5">
        <v>323437.5</v>
      </c>
      <c r="Q419" s="5">
        <v>323437.5</v>
      </c>
      <c r="R419" s="5">
        <v>323437.5</v>
      </c>
      <c r="S419" s="5">
        <v>323437.5</v>
      </c>
    </row>
    <row r="420" spans="1:19" ht="10.9" customHeight="1" x14ac:dyDescent="0.2">
      <c r="F420" s="12" t="s">
        <v>410</v>
      </c>
      <c r="G420" s="5">
        <v>843192</v>
      </c>
      <c r="H420" s="5">
        <v>843192</v>
      </c>
      <c r="I420" s="5">
        <v>843192</v>
      </c>
      <c r="J420" s="5">
        <v>843192</v>
      </c>
      <c r="K420" s="5">
        <v>843192</v>
      </c>
      <c r="L420" s="5">
        <v>843192</v>
      </c>
      <c r="M420" s="5">
        <v>795911.25</v>
      </c>
      <c r="N420" s="5">
        <v>795911.25</v>
      </c>
      <c r="O420" s="5">
        <v>619504.5</v>
      </c>
      <c r="P420" s="5">
        <v>427090.5</v>
      </c>
      <c r="Q420" s="5">
        <v>427090.5</v>
      </c>
      <c r="R420" s="5">
        <v>427090.5</v>
      </c>
      <c r="S420" s="5">
        <v>344278.5</v>
      </c>
    </row>
    <row r="421" spans="1:19" ht="10.9" customHeight="1" x14ac:dyDescent="0.2">
      <c r="F421" s="12" t="s">
        <v>411</v>
      </c>
      <c r="G421" s="5">
        <v>2211157.5</v>
      </c>
      <c r="H421" s="5">
        <v>2211157.5</v>
      </c>
      <c r="I421" s="5">
        <v>2211157.5</v>
      </c>
      <c r="J421" s="5">
        <v>2211157.5</v>
      </c>
      <c r="K421" s="5">
        <v>2211157.5</v>
      </c>
      <c r="L421" s="5">
        <v>2211157.5</v>
      </c>
      <c r="M421" s="5">
        <v>2140845</v>
      </c>
      <c r="N421" s="5">
        <v>2059197</v>
      </c>
      <c r="O421" s="5">
        <v>829509.75</v>
      </c>
      <c r="P421" s="5">
        <v>636150</v>
      </c>
      <c r="Q421" s="5">
        <v>636150</v>
      </c>
      <c r="R421" s="5">
        <v>475212.75</v>
      </c>
      <c r="S421" s="5">
        <v>368962.5</v>
      </c>
    </row>
    <row r="422" spans="1:19" ht="10.9" customHeight="1" x14ac:dyDescent="0.2">
      <c r="F422" s="12" t="s">
        <v>412</v>
      </c>
      <c r="G422" s="5">
        <v>2558332.5</v>
      </c>
      <c r="H422" s="5">
        <v>2534529.75</v>
      </c>
      <c r="I422" s="5">
        <v>2534529.75</v>
      </c>
      <c r="J422" s="5">
        <v>2534529.75</v>
      </c>
      <c r="K422" s="5">
        <v>2534529.75</v>
      </c>
      <c r="L422" s="5">
        <v>2534529.75</v>
      </c>
      <c r="M422" s="5">
        <v>2310819.75</v>
      </c>
      <c r="N422" s="5">
        <v>2271875.25</v>
      </c>
      <c r="O422" s="5">
        <v>1668687.75</v>
      </c>
      <c r="P422" s="5">
        <v>1668687.75</v>
      </c>
      <c r="Q422" s="5">
        <v>1344125.25</v>
      </c>
      <c r="R422" s="5">
        <v>1142640.75</v>
      </c>
      <c r="S422" s="5">
        <v>1142640.75</v>
      </c>
    </row>
    <row r="423" spans="1:19" ht="10.9" customHeight="1" x14ac:dyDescent="0.2">
      <c r="F423" s="12" t="s">
        <v>413</v>
      </c>
      <c r="G423" s="5">
        <v>470234.25</v>
      </c>
      <c r="H423" s="5">
        <v>470234.25</v>
      </c>
      <c r="I423" s="5">
        <v>470234.25</v>
      </c>
      <c r="J423" s="5">
        <v>470234.25</v>
      </c>
      <c r="K423" s="5">
        <v>470234.25</v>
      </c>
      <c r="L423" s="5">
        <v>470234.25</v>
      </c>
      <c r="M423" s="5">
        <v>470234.25</v>
      </c>
      <c r="N423" s="5">
        <v>470234.25</v>
      </c>
      <c r="O423" s="5">
        <v>470234.25</v>
      </c>
      <c r="P423" s="5">
        <v>470234.25</v>
      </c>
      <c r="Q423" s="5">
        <v>470234.25</v>
      </c>
      <c r="R423" s="5">
        <v>470234.25</v>
      </c>
      <c r="S423" s="5">
        <v>470234.25</v>
      </c>
    </row>
    <row r="424" spans="1:19" ht="10.9" customHeight="1" x14ac:dyDescent="0.2">
      <c r="F424" s="12" t="s">
        <v>414</v>
      </c>
      <c r="G424" s="5">
        <v>684366</v>
      </c>
      <c r="H424" s="5">
        <v>684366</v>
      </c>
      <c r="I424" s="5">
        <v>684366</v>
      </c>
      <c r="J424" s="5">
        <v>684366</v>
      </c>
      <c r="K424" s="5">
        <v>684366</v>
      </c>
      <c r="L424" s="5">
        <v>684366</v>
      </c>
      <c r="M424" s="5">
        <v>614053.5</v>
      </c>
      <c r="N424" s="5">
        <v>593304</v>
      </c>
      <c r="O424" s="5">
        <v>593304</v>
      </c>
      <c r="P424" s="5">
        <v>593304</v>
      </c>
      <c r="Q424" s="5">
        <v>438459.75</v>
      </c>
      <c r="R424" s="5">
        <v>438459.75</v>
      </c>
      <c r="S424" s="5">
        <v>438459.75</v>
      </c>
    </row>
    <row r="425" spans="1:19" ht="10.9" customHeight="1" x14ac:dyDescent="0.2">
      <c r="F425" s="12" t="s">
        <v>415</v>
      </c>
      <c r="G425" s="5">
        <v>590098.5</v>
      </c>
      <c r="H425" s="5">
        <v>590098.5</v>
      </c>
      <c r="I425" s="5">
        <v>263029.5</v>
      </c>
      <c r="J425" s="5">
        <v>263029.5</v>
      </c>
      <c r="K425" s="5">
        <v>263029.5</v>
      </c>
      <c r="L425" s="5">
        <v>263029.5</v>
      </c>
      <c r="M425" s="5">
        <v>215508.75</v>
      </c>
      <c r="N425" s="5">
        <v>215508.75</v>
      </c>
      <c r="O425" s="5">
        <v>215508.75</v>
      </c>
      <c r="P425" s="5">
        <v>215508.75</v>
      </c>
      <c r="Q425" s="5">
        <v>215508.75</v>
      </c>
      <c r="R425" s="5">
        <v>215508.75</v>
      </c>
      <c r="S425" s="5">
        <v>215508.75</v>
      </c>
    </row>
    <row r="426" spans="1:19" ht="10.9" customHeight="1" x14ac:dyDescent="0.2">
      <c r="F426" s="12" t="s">
        <v>416</v>
      </c>
      <c r="G426" s="5">
        <v>1179492</v>
      </c>
      <c r="H426" s="5">
        <v>1179492</v>
      </c>
      <c r="I426" s="5">
        <v>852422.25</v>
      </c>
      <c r="J426" s="5">
        <v>852422.25</v>
      </c>
      <c r="K426" s="5">
        <v>852422.25</v>
      </c>
      <c r="L426" s="5">
        <v>852422.25</v>
      </c>
      <c r="M426" s="5">
        <v>852422.25</v>
      </c>
      <c r="N426" s="5">
        <v>811641</v>
      </c>
      <c r="O426" s="5">
        <v>811641</v>
      </c>
      <c r="P426" s="5">
        <v>811641</v>
      </c>
      <c r="Q426" s="5">
        <v>811641</v>
      </c>
      <c r="R426" s="5">
        <v>811641</v>
      </c>
      <c r="S426" s="5">
        <v>811641</v>
      </c>
    </row>
    <row r="427" spans="1:19" ht="10.9" customHeight="1" x14ac:dyDescent="0.2">
      <c r="B427" s="13" t="s">
        <v>417</v>
      </c>
      <c r="G427" s="17">
        <f t="shared" ref="G427:S427" si="67">SUM(G413:G426)</f>
        <v>132810692.25</v>
      </c>
      <c r="H427" s="17">
        <f t="shared" si="67"/>
        <v>132126342</v>
      </c>
      <c r="I427" s="17">
        <f t="shared" si="67"/>
        <v>132930590.25</v>
      </c>
      <c r="J427" s="17">
        <f t="shared" si="67"/>
        <v>132663959.25</v>
      </c>
      <c r="K427" s="17">
        <f t="shared" si="67"/>
        <v>132760833.75</v>
      </c>
      <c r="L427" s="17">
        <f t="shared" si="67"/>
        <v>133708779.75</v>
      </c>
      <c r="M427" s="17">
        <f t="shared" si="67"/>
        <v>133292572.5</v>
      </c>
      <c r="N427" s="17">
        <f t="shared" si="67"/>
        <v>133161366</v>
      </c>
      <c r="O427" s="17">
        <f t="shared" si="67"/>
        <v>130892217</v>
      </c>
      <c r="P427" s="17">
        <f t="shared" si="67"/>
        <v>130176762.75</v>
      </c>
      <c r="Q427" s="17">
        <f t="shared" si="67"/>
        <v>129802824.75</v>
      </c>
      <c r="R427" s="17">
        <f t="shared" si="67"/>
        <v>129623606.25</v>
      </c>
      <c r="S427" s="17">
        <f t="shared" si="67"/>
        <v>129550794</v>
      </c>
    </row>
    <row r="428" spans="1:19" ht="10.9" customHeight="1" x14ac:dyDescent="0.2">
      <c r="A428" s="13" t="s">
        <v>418</v>
      </c>
      <c r="G428" s="17">
        <f t="shared" ref="G428:S428" si="68">(0 + G427)</f>
        <v>132810692.25</v>
      </c>
      <c r="H428" s="17">
        <f t="shared" si="68"/>
        <v>132126342</v>
      </c>
      <c r="I428" s="17">
        <f t="shared" si="68"/>
        <v>132930590.25</v>
      </c>
      <c r="J428" s="17">
        <f t="shared" si="68"/>
        <v>132663959.25</v>
      </c>
      <c r="K428" s="17">
        <f t="shared" si="68"/>
        <v>132760833.75</v>
      </c>
      <c r="L428" s="17">
        <f t="shared" si="68"/>
        <v>133708779.75</v>
      </c>
      <c r="M428" s="17">
        <f t="shared" si="68"/>
        <v>133292572.5</v>
      </c>
      <c r="N428" s="17">
        <f t="shared" si="68"/>
        <v>133161366</v>
      </c>
      <c r="O428" s="17">
        <f t="shared" si="68"/>
        <v>130892217</v>
      </c>
      <c r="P428" s="17">
        <f t="shared" si="68"/>
        <v>130176762.75</v>
      </c>
      <c r="Q428" s="17">
        <f t="shared" si="68"/>
        <v>129802824.75</v>
      </c>
      <c r="R428" s="17">
        <f t="shared" si="68"/>
        <v>129623606.25</v>
      </c>
      <c r="S428" s="17">
        <f t="shared" si="68"/>
        <v>129550794</v>
      </c>
    </row>
    <row r="429" spans="1:19" ht="13.35" customHeight="1" x14ac:dyDescent="0.25">
      <c r="G429"/>
      <c r="H429"/>
      <c r="I429"/>
      <c r="J429"/>
      <c r="K429"/>
      <c r="L429"/>
      <c r="M429"/>
      <c r="N429"/>
      <c r="O429"/>
      <c r="P429"/>
      <c r="Q429"/>
      <c r="R429"/>
      <c r="S429"/>
    </row>
    <row r="430" spans="1:19" s="9" customFormat="1" ht="12.2" customHeight="1" x14ac:dyDescent="0.2">
      <c r="A430" s="6" t="s">
        <v>419</v>
      </c>
      <c r="B430" s="6"/>
      <c r="C430" s="6"/>
      <c r="D430" s="6"/>
      <c r="E430" s="6"/>
      <c r="F430" s="6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</row>
    <row r="431" spans="1:19" ht="10.9" customHeight="1" x14ac:dyDescent="0.2">
      <c r="F431" s="15" t="s">
        <v>420</v>
      </c>
      <c r="G431" s="5">
        <v>0</v>
      </c>
      <c r="H431" s="5">
        <v>0</v>
      </c>
      <c r="I431" s="5">
        <v>0</v>
      </c>
      <c r="J431" s="5">
        <v>6336231.0299999993</v>
      </c>
      <c r="K431" s="5">
        <v>0</v>
      </c>
      <c r="L431" s="5">
        <v>0</v>
      </c>
      <c r="M431" s="5">
        <v>0</v>
      </c>
      <c r="N431" s="5">
        <v>0</v>
      </c>
      <c r="O431" s="5">
        <v>0</v>
      </c>
      <c r="P431" s="5">
        <v>0</v>
      </c>
      <c r="Q431" s="5">
        <v>0</v>
      </c>
      <c r="R431" s="5">
        <v>0</v>
      </c>
      <c r="S431" s="5">
        <v>0</v>
      </c>
    </row>
    <row r="432" spans="1:19" ht="10.9" customHeight="1" x14ac:dyDescent="0.2">
      <c r="F432" s="12" t="s">
        <v>421</v>
      </c>
      <c r="G432" s="5">
        <v>0</v>
      </c>
      <c r="H432" s="5">
        <v>0</v>
      </c>
      <c r="I432" s="5">
        <v>0</v>
      </c>
      <c r="J432" s="5">
        <v>0</v>
      </c>
      <c r="K432" s="5">
        <v>0</v>
      </c>
      <c r="L432" s="5">
        <v>0</v>
      </c>
      <c r="M432" s="5">
        <v>0</v>
      </c>
      <c r="N432" s="5">
        <v>0</v>
      </c>
      <c r="O432" s="5">
        <v>150000</v>
      </c>
      <c r="P432" s="5">
        <v>0</v>
      </c>
      <c r="Q432" s="5">
        <v>0</v>
      </c>
      <c r="R432" s="5">
        <v>0</v>
      </c>
      <c r="S432" s="5">
        <v>0</v>
      </c>
    </row>
    <row r="433" spans="1:19" ht="10.9" customHeight="1" x14ac:dyDescent="0.2">
      <c r="A433" s="13" t="s">
        <v>422</v>
      </c>
      <c r="G433" s="17">
        <f t="shared" ref="G433:S433" si="69">SUM(G431:G432)</f>
        <v>0</v>
      </c>
      <c r="H433" s="17">
        <f t="shared" si="69"/>
        <v>0</v>
      </c>
      <c r="I433" s="17">
        <f t="shared" si="69"/>
        <v>0</v>
      </c>
      <c r="J433" s="17">
        <f t="shared" si="69"/>
        <v>6336231.0299999993</v>
      </c>
      <c r="K433" s="17">
        <f t="shared" si="69"/>
        <v>0</v>
      </c>
      <c r="L433" s="17">
        <f t="shared" si="69"/>
        <v>0</v>
      </c>
      <c r="M433" s="17">
        <f t="shared" si="69"/>
        <v>0</v>
      </c>
      <c r="N433" s="17">
        <f t="shared" si="69"/>
        <v>0</v>
      </c>
      <c r="O433" s="17">
        <f t="shared" si="69"/>
        <v>150000</v>
      </c>
      <c r="P433" s="17">
        <f t="shared" si="69"/>
        <v>0</v>
      </c>
      <c r="Q433" s="17">
        <f t="shared" si="69"/>
        <v>0</v>
      </c>
      <c r="R433" s="17">
        <f t="shared" si="69"/>
        <v>0</v>
      </c>
      <c r="S433" s="17">
        <f t="shared" si="69"/>
        <v>0</v>
      </c>
    </row>
    <row r="434" spans="1:19" ht="13.35" customHeight="1" x14ac:dyDescent="0.25">
      <c r="G434"/>
      <c r="H434"/>
      <c r="I434"/>
      <c r="J434"/>
      <c r="K434"/>
      <c r="L434"/>
      <c r="M434"/>
      <c r="N434"/>
      <c r="O434"/>
      <c r="P434"/>
      <c r="Q434"/>
      <c r="R434"/>
      <c r="S434"/>
    </row>
    <row r="435" spans="1:19" ht="10.9" customHeight="1" x14ac:dyDescent="0.2">
      <c r="F435" s="14" t="s">
        <v>423</v>
      </c>
      <c r="G435" s="20">
        <f t="shared" ref="G435:S435" si="70">(G409 - G428)</f>
        <v>514823173.42999983</v>
      </c>
      <c r="H435" s="20">
        <f t="shared" si="70"/>
        <v>71914709.579999924</v>
      </c>
      <c r="I435" s="20">
        <f t="shared" si="70"/>
        <v>-347491718.63999993</v>
      </c>
      <c r="J435" s="20">
        <f t="shared" si="70"/>
        <v>-136915533.05750012</v>
      </c>
      <c r="K435" s="20">
        <f t="shared" si="70"/>
        <v>-257437765.38500023</v>
      </c>
      <c r="L435" s="20">
        <f t="shared" si="70"/>
        <v>293173046.33999985</v>
      </c>
      <c r="M435" s="20">
        <f t="shared" si="70"/>
        <v>-68598968.337499857</v>
      </c>
      <c r="N435" s="20">
        <f t="shared" si="70"/>
        <v>980351453.88000035</v>
      </c>
      <c r="O435" s="20">
        <f t="shared" si="70"/>
        <v>135200720.54999977</v>
      </c>
      <c r="P435" s="20">
        <f t="shared" si="70"/>
        <v>-62273749.464999914</v>
      </c>
      <c r="Q435" s="20">
        <f t="shared" si="70"/>
        <v>144234201.21250004</v>
      </c>
      <c r="R435" s="20">
        <f t="shared" si="70"/>
        <v>-109384825.71499991</v>
      </c>
      <c r="S435" s="20">
        <f t="shared" si="70"/>
        <v>-416666025.53249997</v>
      </c>
    </row>
  </sheetData>
  <pageMargins left="0.7" right="0.7" top="0.75" bottom="0.75" header="0.3" footer="0.3"/>
  <pageSetup paperSize="9" fitToWidth="0" fitToHeight="0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Profit and Loss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Fajar Aditya Rahman</dc:creator>
  <cp:lastModifiedBy>Fajar Aditya Rahman</cp:lastModifiedBy>
  <dcterms:created xsi:type="dcterms:W3CDTF">2026-04-29T01:08:29Z</dcterms:created>
  <dcterms:modified xsi:type="dcterms:W3CDTF">2026-04-30T00:07:31Z</dcterms:modified>
</cp:coreProperties>
</file>